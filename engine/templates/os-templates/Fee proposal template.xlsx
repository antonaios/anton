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/>
  </mc:AlternateContent>
  <xr:revisionPtr revIDLastSave="0" documentId="13_ncr:1_{7492C040-0048-44DF-8C55-2C82FF2E96A8}" xr6:coauthVersionLast="47" xr6:coauthVersionMax="47" xr10:uidLastSave="{00000000-0000-0000-0000-000000000000}"/>
  <bookViews>
    <workbookView xWindow="31608" yWindow="48" windowWidth="31272" windowHeight="25200" xr2:uid="{CBA6AB03-3762-47C4-84FF-4C2E8373CB28}"/>
  </bookViews>
  <sheets>
    <sheet name="Indicative_fee_schedule" sheetId="1" r:id="rId1"/>
  </sheets>
  <definedNames>
    <definedName name="Base_lead_adv_fee">Indicative_fee_schedule!$N$15</definedName>
    <definedName name="EBITDA">Indicative_fee_schedule!$N$6</definedName>
    <definedName name="EBITDA_add_back">Indicative_fee_schedule!$N$7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Ratchet_multiple">Indicative_fee_schedule!$N$12</definedName>
    <definedName name="Stripped_assets">Indicative_fee_schedule!$N$10</definedName>
    <definedName name="Structuring_EBITDA">Indicative_fee_schedule!$N$8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1" l="1"/>
  <c r="N30" i="1"/>
  <c r="O15" i="1"/>
  <c r="P19" i="1" l="1"/>
  <c r="O19" i="1"/>
  <c r="P10" i="1" l="1"/>
  <c r="Q10" i="1"/>
  <c r="R10" i="1"/>
  <c r="S10" i="1"/>
  <c r="T10" i="1"/>
  <c r="U10" i="1"/>
  <c r="O10" i="1"/>
  <c r="Q32" i="1"/>
  <c r="Q31" i="1"/>
  <c r="Q33" i="1"/>
  <c r="Q34" i="1"/>
  <c r="Q35" i="1"/>
  <c r="Q30" i="1"/>
  <c r="N36" i="1"/>
  <c r="O36" i="1"/>
  <c r="Q36" i="1" l="1"/>
  <c r="U24" i="1" s="1"/>
  <c r="N21" i="1"/>
  <c r="Y7" i="1"/>
  <c r="N8" i="1"/>
  <c r="R15" i="1" l="1"/>
  <c r="U15" i="1"/>
  <c r="P15" i="1"/>
  <c r="Q15" i="1"/>
  <c r="S15" i="1"/>
  <c r="T15" i="1"/>
  <c r="Q19" i="1"/>
  <c r="R19" i="1"/>
  <c r="P11" i="1"/>
  <c r="P18" i="1" s="1"/>
  <c r="R11" i="1"/>
  <c r="R18" i="1" s="1"/>
  <c r="R17" i="1" s="1"/>
  <c r="R16" i="1" s="1"/>
  <c r="U11" i="1"/>
  <c r="Q11" i="1"/>
  <c r="Q18" i="1" s="1"/>
  <c r="Q17" i="1" s="1"/>
  <c r="Q16" i="1" s="1"/>
  <c r="Z7" i="1" s="1"/>
  <c r="S11" i="1"/>
  <c r="O11" i="1"/>
  <c r="T11" i="1"/>
  <c r="R24" i="1"/>
  <c r="S24" i="1"/>
  <c r="Q24" i="1"/>
  <c r="T24" i="1"/>
  <c r="P24" i="1"/>
  <c r="O24" i="1"/>
  <c r="Y8" i="1"/>
  <c r="P17" i="1" l="1"/>
  <c r="P16" i="1" s="1"/>
  <c r="Z6" i="1" s="1"/>
  <c r="Z8" i="1"/>
  <c r="O18" i="1"/>
  <c r="O17" i="1" s="1"/>
  <c r="O16" i="1" s="1"/>
  <c r="Z5" i="1" s="1"/>
  <c r="Y9" i="1"/>
  <c r="S19" i="1" l="1"/>
  <c r="S18" i="1" s="1"/>
  <c r="S17" i="1" s="1"/>
  <c r="S16" i="1" s="1"/>
  <c r="Z9" i="1" s="1"/>
  <c r="P22" i="1"/>
  <c r="Y10" i="1"/>
  <c r="T19" i="1" l="1"/>
  <c r="T18" i="1" s="1"/>
  <c r="T17" i="1" s="1"/>
  <c r="T16" i="1" s="1"/>
  <c r="Z10" i="1" s="1"/>
  <c r="Q25" i="1"/>
  <c r="Q26" i="1" s="1"/>
  <c r="P25" i="1"/>
  <c r="P26" i="1" s="1"/>
  <c r="Y11" i="1"/>
  <c r="P21" i="1"/>
  <c r="U19" i="1" l="1"/>
  <c r="U18" i="1" s="1"/>
  <c r="U17" i="1" s="1"/>
  <c r="U16" i="1" s="1"/>
  <c r="Z11" i="1" s="1"/>
  <c r="O22" i="1"/>
  <c r="Q21" i="1"/>
  <c r="Q22" i="1"/>
  <c r="O25" i="1"/>
  <c r="O26" i="1" s="1"/>
  <c r="R25" i="1"/>
  <c r="R26" i="1" s="1"/>
  <c r="O21" i="1"/>
  <c r="R21" i="1" l="1"/>
  <c r="R22" i="1"/>
  <c r="S25" i="1" l="1"/>
  <c r="S26" i="1" s="1"/>
  <c r="S21" i="1"/>
  <c r="S22" i="1"/>
  <c r="U21" i="1"/>
  <c r="U22" i="1"/>
  <c r="U25" i="1"/>
  <c r="U26" i="1" s="1"/>
  <c r="T21" i="1"/>
  <c r="T22" i="1"/>
  <c r="T25" i="1"/>
  <c r="T26" i="1" s="1"/>
</calcChain>
</file>

<file path=xl/sharedStrings.xml><?xml version="1.0" encoding="utf-8"?>
<sst xmlns="http://schemas.openxmlformats.org/spreadsheetml/2006/main" count="41" uniqueCount="35">
  <si>
    <t xml:space="preserve">Transaction advisers indicative fees </t>
  </si>
  <si>
    <t>Transaction overview</t>
  </si>
  <si>
    <t xml:space="preserve">Exit multiple </t>
  </si>
  <si>
    <t>Ratchet fee</t>
  </si>
  <si>
    <t>Total lead adv. fee</t>
  </si>
  <si>
    <t>(£m, FY26)</t>
  </si>
  <si>
    <t>EBITDA (£m)</t>
  </si>
  <si>
    <t>Current family-related costs</t>
  </si>
  <si>
    <t>Pro forma  EBITDA (£m)</t>
  </si>
  <si>
    <t xml:space="preserve">Exit EBITDA multiple </t>
  </si>
  <si>
    <t>Assets to be stripped out of transaction scope (£m)</t>
  </si>
  <si>
    <t>Enterprise value (£m)</t>
  </si>
  <si>
    <t>Ratchet kicks in above a multiple of…</t>
  </si>
  <si>
    <t>Proposed lead adviser fee</t>
  </si>
  <si>
    <t>Financial advisers contingent success fee (base fee %)</t>
  </si>
  <si>
    <t>Ratchet fee as % of value above Ratchet multiple</t>
  </si>
  <si>
    <t xml:space="preserve">Ratchet fee </t>
  </si>
  <si>
    <t>Total lead financial advisers fees</t>
  </si>
  <si>
    <t>Total financial advisers fees (% of EV)</t>
  </si>
  <si>
    <t>Joint adviser fees</t>
  </si>
  <si>
    <t>Supporting transaction services fees</t>
  </si>
  <si>
    <t>Total transaction services fees</t>
  </si>
  <si>
    <t>Total advisers fees (% of EV)</t>
  </si>
  <si>
    <t>Supporting transaction services</t>
  </si>
  <si>
    <t xml:space="preserve">Low </t>
  </si>
  <si>
    <t>High</t>
  </si>
  <si>
    <t>SELECT BELOW</t>
  </si>
  <si>
    <t>Financial &amp; Tax DD</t>
  </si>
  <si>
    <t>CDD</t>
  </si>
  <si>
    <t>Legal (personal &amp; corporate / transaction support)</t>
  </si>
  <si>
    <t>Optional: Property/Technical</t>
  </si>
  <si>
    <t>Optional: Environmental</t>
  </si>
  <si>
    <t>Optional: MIP advisory</t>
  </si>
  <si>
    <t>Total supporting transaction advisers fees</t>
  </si>
  <si>
    <t>Lead financial advisor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</si>
</sst>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;* \(#,##0\);_-* &quot;-&quot;??_-;_-@_-"/>
    <numFmt numFmtId="165" formatCode="_-* #,##0.0;* \(#,##0.0\);_-* &quot;-&quot;??_-;_-@_-"/>
    <numFmt numFmtId="166" formatCode="0.0\x"/>
    <numFmt numFmtId="167" formatCode="0.0%"/>
    <numFmt numFmtId="168" formatCode="_-* #,##0_-;\-* #,##0_-;_-* &quot;-&quot;??_-;_-@_-"/>
    <numFmt numFmtId="169" formatCode="_-* #,##0.00;* \(#,##0.00\);_-* &quot;-&quot;??_-;_-@_-"/>
  </numFmts>
  <fonts count="16" x14ac:knownFonts="1">
    <font>
      <sz val="10"/>
      <color theme="1"/>
      <name val="Assistant"/>
      <family val="2"/>
    </font>
    <font>
      <sz val="10"/>
      <color theme="1"/>
      <name val="Assistant"/>
      <family val="2"/>
    </font>
    <font>
      <sz val="10"/>
      <color rgb="FF3F3F76"/>
      <name val="Assistant"/>
      <family val="2"/>
    </font>
    <font>
      <b/>
      <sz val="10"/>
      <color theme="1"/>
      <name val="Assistant"/>
      <charset val="177"/>
    </font>
    <font>
      <sz val="10"/>
      <color theme="1"/>
      <name val="Assistant"/>
      <charset val="177"/>
    </font>
    <font>
      <b/>
      <sz val="10"/>
      <color theme="0"/>
      <name val="Assistant"/>
      <charset val="177"/>
    </font>
    <font>
      <sz val="10"/>
      <name val="Assistant"/>
      <charset val="177"/>
    </font>
    <font>
      <i/>
      <sz val="10"/>
      <color theme="1"/>
      <name val="Assistant"/>
      <charset val="177"/>
    </font>
    <font>
      <b/>
      <i/>
      <sz val="10"/>
      <color theme="1"/>
      <name val="Assistant"/>
      <charset val="177"/>
    </font>
    <font>
      <sz val="10"/>
      <color rgb="FF3F3F76"/>
      <name val="Assistant"/>
      <charset val="177"/>
    </font>
    <font>
      <i/>
      <sz val="10"/>
      <name val="Assistant"/>
      <charset val="177"/>
    </font>
    <font>
      <b/>
      <sz val="10"/>
      <color rgb="FF3F3F76"/>
      <name val="Assistant"/>
      <charset val="177"/>
    </font>
    <font>
      <i/>
      <sz val="10"/>
      <color theme="0" tint="-0.499984740745262"/>
      <name val="Assistant"/>
      <charset val="177"/>
    </font>
    <font>
      <b/>
      <i/>
      <sz val="10"/>
      <color theme="0" tint="-0.499984740745262"/>
      <name val="Assistant"/>
      <charset val="177"/>
    </font>
    <font>
      <b/>
      <sz val="10"/>
      <color theme="0" tint="-0.499984740745262"/>
      <name val="Assistant"/>
      <charset val="177"/>
    </font>
    <font>
      <sz val="10"/>
      <color theme="0" tint="-0.499984740745262"/>
      <name val="Assistant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/>
    <xf numFmtId="0" fontId="4" fillId="0" borderId="0" xfId="0" applyFont="1"/>
    <xf numFmtId="165" fontId="4" fillId="0" borderId="0" xfId="0" applyNumberFormat="1" applyFont="1"/>
    <xf numFmtId="165" fontId="3" fillId="0" borderId="0" xfId="0" applyNumberFormat="1" applyFont="1"/>
    <xf numFmtId="164" fontId="4" fillId="0" borderId="0" xfId="0" applyNumberFormat="1" applyFont="1"/>
    <xf numFmtId="166" fontId="2" fillId="2" borderId="1" xfId="2" applyNumberFormat="1"/>
    <xf numFmtId="164" fontId="3" fillId="0" borderId="2" xfId="0" applyNumberFormat="1" applyFont="1" applyBorder="1"/>
    <xf numFmtId="0" fontId="4" fillId="3" borderId="0" xfId="0" applyFont="1" applyFill="1"/>
    <xf numFmtId="165" fontId="4" fillId="3" borderId="0" xfId="0" applyNumberFormat="1" applyFont="1" applyFill="1"/>
    <xf numFmtId="0" fontId="5" fillId="3" borderId="0" xfId="0" applyFont="1" applyFill="1"/>
    <xf numFmtId="9" fontId="4" fillId="0" borderId="0" xfId="1" applyFont="1"/>
    <xf numFmtId="10" fontId="4" fillId="0" borderId="0" xfId="1" applyNumberFormat="1" applyFont="1"/>
    <xf numFmtId="167" fontId="3" fillId="0" borderId="0" xfId="1" applyNumberFormat="1" applyFont="1"/>
    <xf numFmtId="165" fontId="6" fillId="0" borderId="0" xfId="0" applyNumberFormat="1" applyFont="1"/>
    <xf numFmtId="0" fontId="7" fillId="0" borderId="0" xfId="0" applyFont="1"/>
    <xf numFmtId="0" fontId="8" fillId="0" borderId="0" xfId="0" applyFont="1"/>
    <xf numFmtId="165" fontId="8" fillId="0" borderId="0" xfId="0" applyNumberFormat="1" applyFont="1"/>
    <xf numFmtId="9" fontId="7" fillId="0" borderId="0" xfId="1" applyFont="1"/>
    <xf numFmtId="164" fontId="7" fillId="0" borderId="0" xfId="0" applyNumberFormat="1" applyFont="1"/>
    <xf numFmtId="165" fontId="4" fillId="0" borderId="0" xfId="0" applyNumberFormat="1" applyFont="1" applyAlignment="1">
      <alignment horizontal="right"/>
    </xf>
    <xf numFmtId="10" fontId="3" fillId="0" borderId="0" xfId="1" applyNumberFormat="1" applyFont="1"/>
    <xf numFmtId="10" fontId="9" fillId="2" borderId="1" xfId="1" applyNumberFormat="1" applyFont="1" applyFill="1" applyBorder="1"/>
    <xf numFmtId="165" fontId="7" fillId="0" borderId="0" xfId="0" applyNumberFormat="1" applyFont="1"/>
    <xf numFmtId="10" fontId="10" fillId="0" borderId="0" xfId="1" applyNumberFormat="1" applyFont="1" applyFill="1" applyBorder="1"/>
    <xf numFmtId="165" fontId="3" fillId="0" borderId="0" xfId="0" applyNumberFormat="1" applyFont="1" applyAlignment="1">
      <alignment horizontal="left"/>
    </xf>
    <xf numFmtId="166" fontId="2" fillId="0" borderId="0" xfId="2" applyNumberFormat="1" applyFill="1" applyBorder="1"/>
    <xf numFmtId="164" fontId="3" fillId="0" borderId="0" xfId="0" applyNumberFormat="1" applyFont="1"/>
    <xf numFmtId="10" fontId="3" fillId="0" borderId="0" xfId="1" applyNumberFormat="1" applyFont="1" applyFill="1" applyBorder="1"/>
    <xf numFmtId="10" fontId="11" fillId="2" borderId="1" xfId="1" applyNumberFormat="1" applyFont="1" applyFill="1" applyBorder="1"/>
    <xf numFmtId="165" fontId="3" fillId="0" borderId="0" xfId="0" applyNumberFormat="1" applyFont="1" applyAlignment="1">
      <alignment horizontal="right"/>
    </xf>
    <xf numFmtId="9" fontId="8" fillId="0" borderId="0" xfId="1" applyFont="1"/>
    <xf numFmtId="0" fontId="5" fillId="0" borderId="0" xfId="0" applyFont="1"/>
    <xf numFmtId="168" fontId="3" fillId="0" borderId="0" xfId="3" applyNumberFormat="1" applyFont="1" applyAlignment="1">
      <alignment horizontal="right"/>
    </xf>
    <xf numFmtId="164" fontId="2" fillId="2" borderId="1" xfId="2" applyNumberFormat="1"/>
    <xf numFmtId="164" fontId="8" fillId="0" borderId="0" xfId="0" applyNumberFormat="1" applyFont="1"/>
    <xf numFmtId="165" fontId="11" fillId="2" borderId="1" xfId="2" applyNumberFormat="1" applyFont="1" applyAlignment="1">
      <alignment horizontal="right"/>
    </xf>
    <xf numFmtId="169" fontId="2" fillId="2" borderId="1" xfId="2" applyNumberFormat="1"/>
    <xf numFmtId="169" fontId="3" fillId="0" borderId="2" xfId="0" applyNumberFormat="1" applyFont="1" applyBorder="1"/>
    <xf numFmtId="169" fontId="4" fillId="0" borderId="0" xfId="0" applyNumberFormat="1" applyFont="1"/>
    <xf numFmtId="165" fontId="12" fillId="0" borderId="0" xfId="0" applyNumberFormat="1" applyFont="1" applyAlignment="1">
      <alignment horizontal="right"/>
    </xf>
    <xf numFmtId="9" fontId="3" fillId="0" borderId="0" xfId="1" applyFont="1"/>
    <xf numFmtId="0" fontId="12" fillId="0" borderId="0" xfId="0" applyFont="1"/>
    <xf numFmtId="165" fontId="12" fillId="0" borderId="0" xfId="0" applyNumberFormat="1" applyFont="1"/>
    <xf numFmtId="0" fontId="14" fillId="0" borderId="0" xfId="0" applyFont="1"/>
    <xf numFmtId="10" fontId="12" fillId="0" borderId="0" xfId="1" applyNumberFormat="1" applyFont="1" applyFill="1" applyBorder="1"/>
    <xf numFmtId="0" fontId="13" fillId="0" borderId="0" xfId="0" applyFont="1"/>
    <xf numFmtId="165" fontId="13" fillId="0" borderId="0" xfId="0" applyNumberFormat="1" applyFont="1"/>
    <xf numFmtId="9" fontId="12" fillId="0" borderId="0" xfId="1" applyFont="1"/>
    <xf numFmtId="164" fontId="12" fillId="0" borderId="0" xfId="0" applyNumberFormat="1" applyFont="1"/>
    <xf numFmtId="9" fontId="15" fillId="2" borderId="1" xfId="1" applyFont="1" applyFill="1" applyBorder="1"/>
    <xf numFmtId="164" fontId="8" fillId="0" borderId="3" xfId="0" applyNumberFormat="1" applyFont="1" applyBorder="1"/>
  </cellXfs>
  <cellStyles count="4">
    <cellStyle name="Comma" xfId="3" builtinId="3"/>
    <cellStyle name="Input" xfId="2" builtinId="20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12060-92B4-4DC4-9D1E-F7176F0147B9}">
  <dimension ref="A1:AF37"/>
  <sheetViews>
    <sheetView showGridLines="0" tabSelected="1" topLeftCell="A2" zoomScale="85" zoomScaleNormal="85" workbookViewId="0">
      <selection activeCell="Q36" sqref="Q36"/>
    </sheetView>
  </sheetViews>
  <sheetFormatPr defaultColWidth="0" defaultRowHeight="13.8" zeroHeight="1" outlineLevelRow="1" x14ac:dyDescent="0.3"/>
  <cols>
    <col min="1" max="9" width="2.625" style="2" customWidth="1"/>
    <col min="10" max="10" width="9" style="3" customWidth="1"/>
    <col min="11" max="11" width="12.625" style="3" customWidth="1"/>
    <col min="12" max="12" width="6" style="3" customWidth="1"/>
    <col min="13" max="13" width="11.125" style="3" customWidth="1"/>
    <col min="14" max="14" width="10" style="3" customWidth="1"/>
    <col min="15" max="19" width="11.375" style="3" customWidth="1"/>
    <col min="20" max="20" width="11.125" style="3" bestFit="1" customWidth="1"/>
    <col min="21" max="21" width="11.375" style="3" bestFit="1" customWidth="1"/>
    <col min="22" max="24" width="2.875" style="3" customWidth="1"/>
    <col min="25" max="25" width="13.125" style="3" bestFit="1" customWidth="1"/>
    <col min="26" max="26" width="12.125" style="3" bestFit="1" customWidth="1"/>
    <col min="27" max="27" width="18.375" style="3" customWidth="1"/>
    <col min="28" max="28" width="4.625" style="2" customWidth="1"/>
    <col min="29" max="29" width="13.125" style="2" hidden="1" customWidth="1"/>
    <col min="30" max="30" width="13" style="2" hidden="1" customWidth="1"/>
    <col min="31" max="31" width="13.125" style="2" hidden="1" customWidth="1"/>
    <col min="32" max="16384" width="9" style="2" hidden="1"/>
  </cols>
  <sheetData>
    <row r="1" spans="1:32" x14ac:dyDescent="0.3"/>
    <row r="2" spans="1:32" s="8" customFormat="1" x14ac:dyDescent="0.3">
      <c r="B2" s="10" t="s">
        <v>0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32" x14ac:dyDescent="0.3">
      <c r="B3" s="32"/>
    </row>
    <row r="4" spans="1:32" x14ac:dyDescent="0.3">
      <c r="B4" s="1" t="s">
        <v>1</v>
      </c>
      <c r="Y4" s="20" t="s">
        <v>2</v>
      </c>
      <c r="Z4" s="23" t="s">
        <v>3</v>
      </c>
      <c r="AA4" s="4" t="s">
        <v>4</v>
      </c>
    </row>
    <row r="5" spans="1:32" x14ac:dyDescent="0.3">
      <c r="C5" s="1" t="s">
        <v>5</v>
      </c>
      <c r="Y5" s="6">
        <v>10</v>
      </c>
      <c r="Z5" s="24">
        <f>INDEX($O$16:$U$16,MATCH($Y5,$O$9:$U$9,0))</f>
        <v>0</v>
      </c>
      <c r="AA5" s="29">
        <v>7.4999999999999997E-3</v>
      </c>
    </row>
    <row r="6" spans="1:32" x14ac:dyDescent="0.3">
      <c r="C6" s="2" t="s">
        <v>6</v>
      </c>
      <c r="N6" s="37">
        <v>11</v>
      </c>
      <c r="O6" s="25"/>
      <c r="Y6" s="6">
        <v>10.5</v>
      </c>
      <c r="Z6" s="24">
        <f t="shared" ref="Z6:Z11" si="0">INDEX($O$16:$U$16,MATCH($Y6,$O$9:$U$9,0))</f>
        <v>3.7701298701298701E-2</v>
      </c>
      <c r="AA6" s="29">
        <v>8.9999999999999993E-3</v>
      </c>
      <c r="AF6" s="3"/>
    </row>
    <row r="7" spans="1:32" x14ac:dyDescent="0.3">
      <c r="C7" s="2" t="s">
        <v>7</v>
      </c>
      <c r="N7" s="37">
        <v>0.55000000000000004</v>
      </c>
      <c r="Y7" s="6">
        <f>+Y6+0.5</f>
        <v>11</v>
      </c>
      <c r="Z7" s="24">
        <f t="shared" si="0"/>
        <v>4.9768398268398267E-2</v>
      </c>
      <c r="AA7" s="29">
        <v>1.15E-2</v>
      </c>
      <c r="AB7" s="12"/>
      <c r="AF7" s="3"/>
    </row>
    <row r="8" spans="1:32" s="1" customFormat="1" x14ac:dyDescent="0.3">
      <c r="C8" s="1" t="s">
        <v>8</v>
      </c>
      <c r="J8" s="4"/>
      <c r="K8" s="4"/>
      <c r="L8" s="4"/>
      <c r="M8" s="4"/>
      <c r="N8" s="38">
        <f>SUM(N6:N7)</f>
        <v>11.55</v>
      </c>
      <c r="R8" s="4"/>
      <c r="S8" s="4"/>
      <c r="T8" s="4"/>
      <c r="U8" s="4"/>
      <c r="V8" s="4"/>
      <c r="W8" s="4"/>
      <c r="X8" s="4"/>
      <c r="Y8" s="6">
        <f t="shared" ref="Y8:Y11" si="1">+Y7+0.5</f>
        <v>11.5</v>
      </c>
      <c r="Z8" s="24">
        <f t="shared" si="0"/>
        <v>5.1768398268398269E-2</v>
      </c>
      <c r="AA8" s="29">
        <v>1.35E-2</v>
      </c>
      <c r="AB8" s="12"/>
      <c r="AF8" s="3"/>
    </row>
    <row r="9" spans="1:32" x14ac:dyDescent="0.3">
      <c r="C9" s="2" t="s">
        <v>9</v>
      </c>
      <c r="O9" s="6">
        <v>10</v>
      </c>
      <c r="P9" s="6">
        <v>10.5</v>
      </c>
      <c r="Q9" s="6">
        <v>11</v>
      </c>
      <c r="R9" s="6">
        <v>11.5</v>
      </c>
      <c r="S9" s="6">
        <v>12</v>
      </c>
      <c r="T9" s="6">
        <v>12.5</v>
      </c>
      <c r="U9" s="6">
        <v>13</v>
      </c>
      <c r="V9" s="26"/>
      <c r="W9" s="26"/>
      <c r="X9" s="26"/>
      <c r="Y9" s="6">
        <f t="shared" si="1"/>
        <v>12</v>
      </c>
      <c r="Z9" s="24">
        <f t="shared" si="0"/>
        <v>5.3768398268398278E-2</v>
      </c>
      <c r="AA9" s="29">
        <v>1.55E-2</v>
      </c>
      <c r="AB9" s="12"/>
      <c r="AC9" s="12"/>
      <c r="AD9" s="11"/>
      <c r="AF9" s="3"/>
    </row>
    <row r="10" spans="1:32" x14ac:dyDescent="0.3">
      <c r="C10" s="2" t="s">
        <v>10</v>
      </c>
      <c r="N10" s="37">
        <v>5</v>
      </c>
      <c r="O10" s="39">
        <f>$N$10</f>
        <v>5</v>
      </c>
      <c r="P10" s="39">
        <f t="shared" ref="P10:U10" si="2">$N$10</f>
        <v>5</v>
      </c>
      <c r="Q10" s="39">
        <f t="shared" si="2"/>
        <v>5</v>
      </c>
      <c r="R10" s="39">
        <f t="shared" si="2"/>
        <v>5</v>
      </c>
      <c r="S10" s="39">
        <f t="shared" si="2"/>
        <v>5</v>
      </c>
      <c r="T10" s="39">
        <f t="shared" si="2"/>
        <v>5</v>
      </c>
      <c r="U10" s="39">
        <f t="shared" si="2"/>
        <v>5</v>
      </c>
      <c r="V10" s="4"/>
      <c r="W10" s="4"/>
      <c r="X10" s="4"/>
      <c r="Y10" s="6">
        <f t="shared" si="1"/>
        <v>12.5</v>
      </c>
      <c r="Z10" s="24">
        <f t="shared" si="0"/>
        <v>6.0595238095238077E-2</v>
      </c>
      <c r="AA10" s="29">
        <v>1.8499999999999999E-2</v>
      </c>
      <c r="AB10" s="12"/>
      <c r="AC10" s="12"/>
      <c r="AD10" s="11"/>
      <c r="AF10" s="3"/>
    </row>
    <row r="11" spans="1:32" x14ac:dyDescent="0.3">
      <c r="C11" s="1" t="s">
        <v>11</v>
      </c>
      <c r="D11" s="1"/>
      <c r="E11" s="1"/>
      <c r="F11" s="1"/>
      <c r="G11" s="1"/>
      <c r="H11" s="1"/>
      <c r="I11" s="1"/>
      <c r="J11" s="4"/>
      <c r="K11" s="4"/>
      <c r="L11" s="4"/>
      <c r="M11" s="4"/>
      <c r="N11" s="4"/>
      <c r="O11" s="38">
        <f>$N$8*O9-O10</f>
        <v>110.5</v>
      </c>
      <c r="P11" s="38">
        <f t="shared" ref="P11:U11" si="3">$N$8*P9-P10</f>
        <v>116.27500000000001</v>
      </c>
      <c r="Q11" s="38">
        <f t="shared" si="3"/>
        <v>122.05000000000001</v>
      </c>
      <c r="R11" s="38">
        <f t="shared" si="3"/>
        <v>127.82500000000002</v>
      </c>
      <c r="S11" s="38">
        <f t="shared" si="3"/>
        <v>133.60000000000002</v>
      </c>
      <c r="T11" s="38">
        <f t="shared" si="3"/>
        <v>139.375</v>
      </c>
      <c r="U11" s="38">
        <f t="shared" si="3"/>
        <v>145.15</v>
      </c>
      <c r="Y11" s="6">
        <f t="shared" si="1"/>
        <v>13</v>
      </c>
      <c r="Z11" s="24">
        <f t="shared" si="0"/>
        <v>5.9862914862914847E-2</v>
      </c>
      <c r="AA11" s="29">
        <v>0.02</v>
      </c>
      <c r="AB11" s="12"/>
      <c r="AC11" s="12"/>
      <c r="AD11" s="3"/>
      <c r="AF11" s="3"/>
    </row>
    <row r="12" spans="1:32" x14ac:dyDescent="0.3">
      <c r="C12" s="2" t="s">
        <v>12</v>
      </c>
      <c r="N12" s="6">
        <v>10</v>
      </c>
      <c r="AB12" s="12"/>
      <c r="AF12" s="3"/>
    </row>
    <row r="13" spans="1:32" x14ac:dyDescent="0.3">
      <c r="J13" s="2"/>
      <c r="K13" s="2"/>
      <c r="L13" s="2"/>
      <c r="M13" s="2"/>
      <c r="N13" s="2"/>
      <c r="O13" s="2"/>
      <c r="P13" s="2"/>
      <c r="Q13" s="2"/>
      <c r="R13" s="2"/>
      <c r="S13" s="2"/>
      <c r="V13" s="5"/>
      <c r="W13" s="5"/>
      <c r="AB13" s="12"/>
    </row>
    <row r="14" spans="1:32" x14ac:dyDescent="0.3">
      <c r="B14" s="1" t="s">
        <v>13</v>
      </c>
      <c r="O14" s="5"/>
      <c r="T14" s="5"/>
      <c r="U14" s="5"/>
      <c r="V14" s="24"/>
      <c r="W14" s="24"/>
      <c r="X14" s="24"/>
      <c r="Y14" s="2"/>
      <c r="Z14" s="2"/>
      <c r="AA14" s="2"/>
      <c r="AD14" s="3"/>
    </row>
    <row r="15" spans="1:32" s="1" customFormat="1" x14ac:dyDescent="0.3">
      <c r="A15" s="2"/>
      <c r="B15" s="2"/>
      <c r="C15" s="2" t="s">
        <v>14</v>
      </c>
      <c r="D15" s="2"/>
      <c r="E15" s="2"/>
      <c r="F15" s="2"/>
      <c r="G15" s="2"/>
      <c r="H15" s="2"/>
      <c r="I15" s="2"/>
      <c r="J15" s="3"/>
      <c r="K15" s="3"/>
      <c r="L15" s="3"/>
      <c r="M15" s="14"/>
      <c r="N15" s="22">
        <v>7.4999999999999997E-3</v>
      </c>
      <c r="O15" s="5">
        <f t="shared" ref="O15:U15" si="4">IF(Ratchet_multiple&gt;O9,O11*Base_lead_adv_fee,(Ratchet_multiple*Structuring_EBITDA-Stripped_assets)*Base_lead_adv_fee)*1000000</f>
        <v>828750</v>
      </c>
      <c r="P15" s="5">
        <f t="shared" si="4"/>
        <v>828750</v>
      </c>
      <c r="Q15" s="5">
        <f t="shared" si="4"/>
        <v>828750</v>
      </c>
      <c r="R15" s="5">
        <f t="shared" si="4"/>
        <v>828750</v>
      </c>
      <c r="S15" s="5">
        <f t="shared" si="4"/>
        <v>828750</v>
      </c>
      <c r="T15" s="5">
        <f t="shared" si="4"/>
        <v>828750</v>
      </c>
      <c r="U15" s="5">
        <f t="shared" si="4"/>
        <v>828750</v>
      </c>
      <c r="V15" s="5"/>
      <c r="W15" s="5"/>
      <c r="X15" s="5"/>
      <c r="AD15" s="3"/>
    </row>
    <row r="16" spans="1:32" outlineLevel="1" x14ac:dyDescent="0.3">
      <c r="A16" s="1"/>
      <c r="D16" s="42" t="s">
        <v>15</v>
      </c>
      <c r="E16" s="42"/>
      <c r="F16" s="42"/>
      <c r="G16" s="42"/>
      <c r="H16" s="42"/>
      <c r="I16" s="42"/>
      <c r="J16" s="43"/>
      <c r="K16" s="43"/>
      <c r="L16" s="43"/>
      <c r="M16" s="44"/>
      <c r="N16" s="43"/>
      <c r="O16" s="45">
        <f t="shared" ref="O16:U16" si="5">IFERROR(O17/((O9-Ratchet_multiple)*Structuring_EBITDA*1000000),0)</f>
        <v>0</v>
      </c>
      <c r="P16" s="45">
        <f t="shared" si="5"/>
        <v>3.7701298701298701E-2</v>
      </c>
      <c r="Q16" s="45">
        <f t="shared" si="5"/>
        <v>4.9768398268398267E-2</v>
      </c>
      <c r="R16" s="45">
        <f t="shared" si="5"/>
        <v>5.1768398268398269E-2</v>
      </c>
      <c r="S16" s="45">
        <f t="shared" si="5"/>
        <v>5.3768398268398278E-2</v>
      </c>
      <c r="T16" s="45">
        <f t="shared" si="5"/>
        <v>6.0595238095238077E-2</v>
      </c>
      <c r="U16" s="45">
        <f t="shared" si="5"/>
        <v>5.9862914862914847E-2</v>
      </c>
      <c r="V16" s="27"/>
      <c r="W16" s="27"/>
      <c r="X16" s="27"/>
      <c r="Y16" s="4"/>
      <c r="Z16" s="4"/>
      <c r="AA16" s="4"/>
    </row>
    <row r="17" spans="1:27" s="1" customFormat="1" outlineLevel="1" x14ac:dyDescent="0.3">
      <c r="A17" s="2"/>
      <c r="B17" s="2"/>
      <c r="C17" s="2" t="s">
        <v>16</v>
      </c>
      <c r="D17" s="2"/>
      <c r="E17" s="2"/>
      <c r="F17" s="2"/>
      <c r="G17" s="2"/>
      <c r="H17" s="2"/>
      <c r="I17" s="2"/>
      <c r="J17" s="3"/>
      <c r="K17" s="3"/>
      <c r="L17" s="3"/>
      <c r="O17" s="5">
        <f>O18-O15</f>
        <v>0</v>
      </c>
      <c r="P17" s="5">
        <f t="shared" ref="P17:U17" si="6">P18-P15</f>
        <v>217725</v>
      </c>
      <c r="Q17" s="5">
        <f t="shared" si="6"/>
        <v>574825</v>
      </c>
      <c r="R17" s="5">
        <f t="shared" si="6"/>
        <v>896887.50000000023</v>
      </c>
      <c r="S17" s="5">
        <f t="shared" si="6"/>
        <v>1242050.0000000002</v>
      </c>
      <c r="T17" s="5">
        <f t="shared" si="6"/>
        <v>1749687.4999999995</v>
      </c>
      <c r="U17" s="5">
        <f t="shared" si="6"/>
        <v>2074250</v>
      </c>
      <c r="V17" s="28"/>
      <c r="W17" s="28"/>
      <c r="X17" s="5"/>
      <c r="Y17" s="4"/>
      <c r="Z17" s="4"/>
      <c r="AA17" s="4"/>
    </row>
    <row r="18" spans="1:27" s="1" customFormat="1" x14ac:dyDescent="0.3">
      <c r="C18" s="1" t="s">
        <v>17</v>
      </c>
      <c r="J18" s="4"/>
      <c r="K18" s="4"/>
      <c r="L18" s="4"/>
      <c r="M18" s="4"/>
      <c r="N18" s="4"/>
      <c r="O18" s="7">
        <f>+O11*O19*1000000</f>
        <v>828750</v>
      </c>
      <c r="P18" s="7">
        <f t="shared" ref="P18:U18" si="7">+P11*P19*1000000</f>
        <v>1046475</v>
      </c>
      <c r="Q18" s="7">
        <f t="shared" si="7"/>
        <v>1403575</v>
      </c>
      <c r="R18" s="7">
        <f t="shared" si="7"/>
        <v>1725637.5000000002</v>
      </c>
      <c r="S18" s="7">
        <f t="shared" si="7"/>
        <v>2070800.0000000002</v>
      </c>
      <c r="T18" s="7">
        <f t="shared" si="7"/>
        <v>2578437.4999999995</v>
      </c>
      <c r="U18" s="7">
        <f t="shared" si="7"/>
        <v>2903000</v>
      </c>
      <c r="V18" s="35"/>
      <c r="W18" s="35"/>
      <c r="X18" s="35"/>
      <c r="Y18" s="4"/>
      <c r="Z18" s="4"/>
      <c r="AA18" s="21"/>
    </row>
    <row r="19" spans="1:27" s="1" customFormat="1" x14ac:dyDescent="0.3">
      <c r="C19" s="1" t="s">
        <v>18</v>
      </c>
      <c r="O19" s="21">
        <f>INDEX($AA$5:$AA$13,MATCH(O9,$Y$5:$Y$13,0))</f>
        <v>7.4999999999999997E-3</v>
      </c>
      <c r="P19" s="21">
        <f t="shared" ref="P19:U19" si="8">INDEX($AA$5:$AA$13,MATCH(P9,$Y$5:$Y$13,0))</f>
        <v>8.9999999999999993E-3</v>
      </c>
      <c r="Q19" s="21">
        <f t="shared" si="8"/>
        <v>1.15E-2</v>
      </c>
      <c r="R19" s="21">
        <f t="shared" si="8"/>
        <v>1.35E-2</v>
      </c>
      <c r="S19" s="21">
        <f t="shared" si="8"/>
        <v>1.55E-2</v>
      </c>
      <c r="T19" s="21">
        <f t="shared" si="8"/>
        <v>1.8499999999999999E-2</v>
      </c>
      <c r="U19" s="21">
        <f t="shared" si="8"/>
        <v>0.02</v>
      </c>
      <c r="V19" s="19"/>
      <c r="W19" s="19"/>
      <c r="X19" s="19"/>
      <c r="Y19" s="4"/>
      <c r="Z19" s="4"/>
      <c r="AA19" s="21"/>
    </row>
    <row r="20" spans="1:27" s="1" customFormat="1" x14ac:dyDescent="0.3">
      <c r="O20" s="21"/>
      <c r="P20" s="21"/>
      <c r="Q20" s="21"/>
      <c r="R20" s="21"/>
      <c r="S20" s="21"/>
      <c r="T20" s="21"/>
      <c r="U20" s="21"/>
      <c r="V20" s="19"/>
      <c r="W20" s="19"/>
      <c r="X20" s="19"/>
      <c r="Y20" s="40"/>
      <c r="Z20" s="4"/>
      <c r="AA20" s="21"/>
    </row>
    <row r="21" spans="1:27" s="1" customFormat="1" x14ac:dyDescent="0.3">
      <c r="D21" s="42" t="s">
        <v>19</v>
      </c>
      <c r="E21" s="46"/>
      <c r="F21" s="46"/>
      <c r="G21" s="46"/>
      <c r="H21" s="46"/>
      <c r="I21" s="46"/>
      <c r="J21" s="47"/>
      <c r="K21" s="47"/>
      <c r="L21" s="47"/>
      <c r="M21" s="47"/>
      <c r="N21" s="48">
        <f>1-N22</f>
        <v>0</v>
      </c>
      <c r="O21" s="49">
        <f>+O18*$N$21</f>
        <v>0</v>
      </c>
      <c r="P21" s="49">
        <f>+P18*$N$21</f>
        <v>0</v>
      </c>
      <c r="Q21" s="49">
        <f>+Q18*$N$21</f>
        <v>0</v>
      </c>
      <c r="R21" s="49">
        <f>+R18*$N$21</f>
        <v>0</v>
      </c>
      <c r="S21" s="49">
        <f>+S18*$N$21</f>
        <v>0</v>
      </c>
      <c r="T21" s="49">
        <f t="shared" ref="T21:U21" si="9">+T18*$N$21</f>
        <v>0</v>
      </c>
      <c r="U21" s="49">
        <f t="shared" si="9"/>
        <v>0</v>
      </c>
      <c r="V21" s="4"/>
      <c r="W21" s="4"/>
      <c r="X21" s="4"/>
      <c r="Y21" s="3"/>
      <c r="Z21" s="3"/>
      <c r="AA21" s="3"/>
    </row>
    <row r="22" spans="1:27" s="1" customFormat="1" x14ac:dyDescent="0.3">
      <c r="D22" s="42" t="s">
        <v>34</v>
      </c>
      <c r="E22" s="46"/>
      <c r="F22" s="46"/>
      <c r="G22" s="46"/>
      <c r="H22" s="46"/>
      <c r="I22" s="46"/>
      <c r="J22" s="47"/>
      <c r="K22" s="47"/>
      <c r="L22" s="47"/>
      <c r="M22" s="47"/>
      <c r="N22" s="50">
        <v>1</v>
      </c>
      <c r="O22" s="49">
        <f>O18*$N$22</f>
        <v>828750</v>
      </c>
      <c r="P22" s="49">
        <f>P18*$N$22</f>
        <v>1046475</v>
      </c>
      <c r="Q22" s="49">
        <f>Q18*$N$22</f>
        <v>1403575</v>
      </c>
      <c r="R22" s="49">
        <f>R18*$N$22</f>
        <v>1725637.5000000002</v>
      </c>
      <c r="S22" s="49">
        <f>S18*$N$22</f>
        <v>2070800.0000000002</v>
      </c>
      <c r="T22" s="49">
        <f t="shared" ref="T22:U22" si="10">T18*$N$22</f>
        <v>2578437.4999999995</v>
      </c>
      <c r="U22" s="49">
        <f t="shared" si="10"/>
        <v>2903000</v>
      </c>
      <c r="V22" s="4"/>
      <c r="W22" s="4"/>
      <c r="X22" s="4"/>
      <c r="Y22" s="4"/>
      <c r="Z22" s="3"/>
      <c r="AA22" s="3"/>
    </row>
    <row r="23" spans="1:27" s="1" customFormat="1" x14ac:dyDescent="0.3">
      <c r="D23" s="15"/>
      <c r="E23" s="16"/>
      <c r="F23" s="16"/>
      <c r="G23" s="16"/>
      <c r="H23" s="16"/>
      <c r="I23" s="16"/>
      <c r="J23" s="17"/>
      <c r="K23" s="17"/>
      <c r="L23" s="17"/>
      <c r="M23" s="17"/>
      <c r="N23" s="18"/>
      <c r="O23" s="19"/>
      <c r="P23" s="19"/>
      <c r="Q23" s="19"/>
      <c r="R23" s="19"/>
      <c r="S23" s="19"/>
      <c r="T23" s="19"/>
      <c r="U23" s="19"/>
      <c r="V23" s="4"/>
      <c r="W23" s="4"/>
      <c r="X23" s="4"/>
      <c r="Y23" s="3"/>
      <c r="Z23" s="3"/>
      <c r="AA23" s="3"/>
    </row>
    <row r="24" spans="1:27" s="1" customFormat="1" x14ac:dyDescent="0.3">
      <c r="D24" s="2" t="s">
        <v>20</v>
      </c>
      <c r="E24" s="16"/>
      <c r="F24" s="16"/>
      <c r="G24" s="16"/>
      <c r="H24" s="16"/>
      <c r="I24" s="16"/>
      <c r="J24" s="17"/>
      <c r="K24" s="17"/>
      <c r="L24" s="17"/>
      <c r="M24" s="17"/>
      <c r="O24" s="19">
        <f>$Q$36</f>
        <v>750500</v>
      </c>
      <c r="P24" s="19">
        <f t="shared" ref="P24:U24" si="11">$Q$36</f>
        <v>750500</v>
      </c>
      <c r="Q24" s="19">
        <f t="shared" si="11"/>
        <v>750500</v>
      </c>
      <c r="R24" s="19">
        <f t="shared" si="11"/>
        <v>750500</v>
      </c>
      <c r="S24" s="19">
        <f t="shared" si="11"/>
        <v>750500</v>
      </c>
      <c r="T24" s="19">
        <f t="shared" si="11"/>
        <v>750500</v>
      </c>
      <c r="U24" s="19">
        <f t="shared" si="11"/>
        <v>750500</v>
      </c>
      <c r="V24" s="4"/>
      <c r="W24" s="4"/>
      <c r="X24" s="4"/>
      <c r="Y24" s="4"/>
      <c r="Z24" s="4"/>
      <c r="AA24" s="4"/>
    </row>
    <row r="25" spans="1:27" s="16" customFormat="1" ht="14.4" thickBot="1" x14ac:dyDescent="0.35">
      <c r="A25" s="1"/>
      <c r="B25" s="1"/>
      <c r="C25" s="1" t="s">
        <v>21</v>
      </c>
      <c r="J25" s="17"/>
      <c r="K25" s="17"/>
      <c r="L25" s="17"/>
      <c r="M25" s="17"/>
      <c r="N25" s="31"/>
      <c r="O25" s="51">
        <f>SUM(O18,O24)</f>
        <v>1579250</v>
      </c>
      <c r="P25" s="51">
        <f t="shared" ref="P25:S25" si="12">SUM(P18,P24)</f>
        <v>1796975</v>
      </c>
      <c r="Q25" s="51">
        <f t="shared" si="12"/>
        <v>2154075</v>
      </c>
      <c r="R25" s="51">
        <f t="shared" si="12"/>
        <v>2476137.5</v>
      </c>
      <c r="S25" s="51">
        <f t="shared" si="12"/>
        <v>2821300</v>
      </c>
      <c r="T25" s="51">
        <f t="shared" ref="T25:U25" si="13">SUM(T18,T24)</f>
        <v>3328937.4999999995</v>
      </c>
      <c r="U25" s="51">
        <f t="shared" si="13"/>
        <v>3653500</v>
      </c>
      <c r="V25" s="17"/>
      <c r="W25" s="17"/>
      <c r="X25" s="17"/>
      <c r="Y25" s="17"/>
      <c r="Z25" s="17"/>
      <c r="AA25" s="17"/>
    </row>
    <row r="26" spans="1:27" s="1" customFormat="1" ht="14.4" thickTop="1" x14ac:dyDescent="0.3">
      <c r="C26" s="1" t="s">
        <v>22</v>
      </c>
      <c r="J26" s="4"/>
      <c r="K26" s="4"/>
      <c r="L26" s="4"/>
      <c r="M26" s="4"/>
      <c r="N26" s="41"/>
      <c r="O26" s="21">
        <f>O25/(O11*1000000)</f>
        <v>1.429185520361991E-2</v>
      </c>
      <c r="P26" s="21">
        <f t="shared" ref="P26:S26" si="14">P25/(P11*1000000)</f>
        <v>1.5454525908406794E-2</v>
      </c>
      <c r="Q26" s="21">
        <f t="shared" si="14"/>
        <v>1.7649119213437113E-2</v>
      </c>
      <c r="R26" s="21">
        <f t="shared" si="14"/>
        <v>1.9371308429493445E-2</v>
      </c>
      <c r="S26" s="21">
        <f t="shared" si="14"/>
        <v>2.1117514970059877E-2</v>
      </c>
      <c r="T26" s="21">
        <f t="shared" ref="T26:U26" si="15">T25/(T11*1000000)</f>
        <v>2.3884753363228695E-2</v>
      </c>
      <c r="U26" s="21">
        <f t="shared" si="15"/>
        <v>2.5170513262142612E-2</v>
      </c>
      <c r="V26" s="4"/>
      <c r="W26" s="4"/>
      <c r="X26" s="4"/>
      <c r="Y26" s="3"/>
      <c r="Z26" s="3"/>
      <c r="AA26" s="3"/>
    </row>
    <row r="27" spans="1:27" s="1" customFormat="1" x14ac:dyDescent="0.3">
      <c r="C27" s="15"/>
      <c r="D27" s="16"/>
      <c r="E27" s="16"/>
      <c r="F27" s="16"/>
      <c r="G27" s="16"/>
      <c r="H27" s="16"/>
      <c r="I27" s="16"/>
      <c r="J27" s="17"/>
      <c r="K27" s="17"/>
      <c r="L27" s="17"/>
      <c r="M27" s="17"/>
      <c r="N27" s="18"/>
      <c r="O27" s="19"/>
      <c r="P27" s="19"/>
      <c r="Q27" s="19"/>
      <c r="R27" s="13"/>
      <c r="S27" s="4"/>
      <c r="T27" s="4"/>
      <c r="U27" s="4"/>
      <c r="V27" s="4"/>
      <c r="W27" s="4"/>
      <c r="X27" s="4"/>
      <c r="Y27" s="3"/>
      <c r="Z27" s="3"/>
      <c r="AA27" s="3"/>
    </row>
    <row r="28" spans="1:27" x14ac:dyDescent="0.3">
      <c r="A28" s="1"/>
      <c r="B28" s="1"/>
      <c r="C28" s="15"/>
      <c r="D28" s="16"/>
      <c r="E28" s="16"/>
      <c r="F28" s="16"/>
      <c r="G28" s="16"/>
      <c r="H28" s="16"/>
      <c r="I28" s="16"/>
      <c r="J28" s="17"/>
      <c r="K28" s="17"/>
      <c r="L28" s="17"/>
      <c r="M28" s="17"/>
      <c r="N28" s="18"/>
      <c r="O28" s="19"/>
      <c r="P28" s="19"/>
      <c r="Q28" s="19"/>
      <c r="R28" s="13"/>
      <c r="S28" s="4"/>
      <c r="T28" s="4"/>
      <c r="U28" s="4"/>
    </row>
    <row r="29" spans="1:27" x14ac:dyDescent="0.3">
      <c r="B29" s="1" t="s">
        <v>23</v>
      </c>
      <c r="N29" s="30" t="s">
        <v>24</v>
      </c>
      <c r="O29" s="33" t="s">
        <v>25</v>
      </c>
      <c r="P29" s="4" t="s">
        <v>26</v>
      </c>
    </row>
    <row r="30" spans="1:27" x14ac:dyDescent="0.3">
      <c r="C30" s="2" t="s">
        <v>27</v>
      </c>
      <c r="K30" s="23"/>
      <c r="L30" s="23"/>
      <c r="N30" s="34">
        <f>150000+33000</f>
        <v>183000</v>
      </c>
      <c r="O30" s="34">
        <f>155000+38000</f>
        <v>193000</v>
      </c>
      <c r="P30" s="36" t="s">
        <v>25</v>
      </c>
      <c r="Q30" s="5">
        <f>IF(P30=$N$29,N30,O30)</f>
        <v>193000</v>
      </c>
    </row>
    <row r="31" spans="1:27" x14ac:dyDescent="0.3">
      <c r="C31" s="2" t="s">
        <v>28</v>
      </c>
      <c r="K31" s="23"/>
      <c r="L31" s="23"/>
      <c r="N31" s="34">
        <v>157500</v>
      </c>
      <c r="O31" s="34">
        <v>175000</v>
      </c>
      <c r="P31" s="36" t="s">
        <v>24</v>
      </c>
      <c r="Q31" s="5">
        <f t="shared" ref="Q31:Q35" si="16">IF(P31=$N$29,N31,O31)</f>
        <v>157500</v>
      </c>
    </row>
    <row r="32" spans="1:27" x14ac:dyDescent="0.3">
      <c r="C32" s="2" t="s">
        <v>29</v>
      </c>
      <c r="K32" s="23"/>
      <c r="L32" s="23"/>
      <c r="N32" s="34">
        <v>350000</v>
      </c>
      <c r="O32" s="34">
        <v>450000</v>
      </c>
      <c r="P32" s="36" t="s">
        <v>24</v>
      </c>
      <c r="Q32" s="5">
        <f t="shared" si="16"/>
        <v>350000</v>
      </c>
    </row>
    <row r="33" spans="1:27" x14ac:dyDescent="0.3">
      <c r="C33" s="2" t="s">
        <v>30</v>
      </c>
      <c r="K33" s="23"/>
      <c r="L33" s="23"/>
      <c r="N33" s="34">
        <v>50000</v>
      </c>
      <c r="O33" s="34">
        <v>50000</v>
      </c>
      <c r="P33" s="36" t="s">
        <v>24</v>
      </c>
      <c r="Q33" s="5">
        <f t="shared" si="16"/>
        <v>50000</v>
      </c>
    </row>
    <row r="34" spans="1:27" x14ac:dyDescent="0.3">
      <c r="C34" s="2" t="s">
        <v>31</v>
      </c>
      <c r="K34" s="23"/>
      <c r="L34" s="23"/>
      <c r="N34" s="34"/>
      <c r="O34" s="34">
        <v>20000</v>
      </c>
      <c r="P34" s="36" t="s">
        <v>24</v>
      </c>
      <c r="Q34" s="5">
        <f t="shared" si="16"/>
        <v>0</v>
      </c>
    </row>
    <row r="35" spans="1:27" s="1" customFormat="1" x14ac:dyDescent="0.3">
      <c r="A35" s="2"/>
      <c r="B35" s="2"/>
      <c r="C35" s="2" t="s">
        <v>32</v>
      </c>
      <c r="D35" s="2"/>
      <c r="E35" s="2"/>
      <c r="F35" s="2"/>
      <c r="G35" s="2"/>
      <c r="H35" s="2"/>
      <c r="I35" s="2"/>
      <c r="J35" s="3"/>
      <c r="K35" s="23"/>
      <c r="L35" s="23"/>
      <c r="M35" s="3"/>
      <c r="N35" s="34"/>
      <c r="O35" s="34">
        <v>75000</v>
      </c>
      <c r="P35" s="36" t="s">
        <v>24</v>
      </c>
      <c r="Q35" s="5">
        <f t="shared" si="16"/>
        <v>0</v>
      </c>
      <c r="R35" s="3"/>
      <c r="S35" s="3"/>
      <c r="T35" s="3"/>
      <c r="U35" s="3"/>
      <c r="V35" s="4"/>
      <c r="W35" s="4"/>
      <c r="X35" s="4"/>
      <c r="Y35" s="4"/>
      <c r="Z35" s="4"/>
      <c r="AA35" s="4"/>
    </row>
    <row r="36" spans="1:27" x14ac:dyDescent="0.3">
      <c r="A36" s="1"/>
      <c r="B36" s="1"/>
      <c r="C36" s="1" t="s">
        <v>33</v>
      </c>
      <c r="D36" s="1"/>
      <c r="E36" s="1"/>
      <c r="F36" s="1"/>
      <c r="G36" s="1"/>
      <c r="H36" s="1"/>
      <c r="I36" s="1"/>
      <c r="J36" s="4"/>
      <c r="K36" s="4"/>
      <c r="L36" s="4"/>
      <c r="M36" s="4"/>
      <c r="N36" s="7">
        <f>SUM(N30:N35)</f>
        <v>740500</v>
      </c>
      <c r="O36" s="7">
        <f>SUM(O30:O35)</f>
        <v>963000</v>
      </c>
      <c r="P36" s="4"/>
      <c r="Q36" s="7">
        <f>SUM(Q30:Q35)</f>
        <v>750500</v>
      </c>
      <c r="R36" s="4"/>
      <c r="S36" s="4"/>
      <c r="T36" s="4"/>
      <c r="U36" s="4"/>
    </row>
    <row r="37" spans="1:27" x14ac:dyDescent="0.3"/>
  </sheetData>
  <dataValidations count="2">
    <dataValidation type="list" allowBlank="1" showInputMessage="1" showErrorMessage="1" sqref="P30:P35" xr:uid="{D5C65CB4-2023-46CC-B2C5-C6B674C3395E}">
      <formula1>$N$29:$O$29</formula1>
    </dataValidation>
    <dataValidation type="list" allowBlank="1" showInputMessage="1" showErrorMessage="1" sqref="O9:U9" xr:uid="{E7A1476C-880A-4CF9-B04A-21C840F2F79E}">
      <formula1>$Y$5:$Y$13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/>
      <vt:lpstr/>
      <vt:lpstr/>
      <vt:lpstr/>
      <vt:lpstr/>
      <vt:lpstr/>
      <vt:lpstr/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2025-09-30T15:45:31Z</dcterms:created>
  <dcterms:modified xsi:type="dcterms:W3CDTF">2026-06-17T20:37:52Z</dcterms:modified>
  <cp:category/>
  <cp:contentStatus/>
</cp:coreProperties>
</file>