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/>
  </mc:AlternateContent>
  <xr:revisionPtr revIDLastSave="0" documentId="13_ncr:1_{B1C5F237-A993-4845-BF36-5D9CA5908F4D}" xr6:coauthVersionLast="47" xr6:coauthVersionMax="47" xr10:uidLastSave="{00000000-0000-0000-0000-000000000000}"/>
  <bookViews>
    <workbookView xWindow="34620" yWindow="720" windowWidth="31272" windowHeight="25200" tabRatio="904" activeTab="2" xr2:uid="{5A35B8BB-8D27-4D34-B46F-F84838F4B7C0}"/>
  </bookViews>
  <sheets>
    <sheet name="Client_FS" sheetId="25" r:id="rId1"/>
    <sheet name="OpModel_Link" sheetId="2" r:id="rId2"/>
    <sheet name="LBO" sheetId="3" r:id="rId3"/>
    <sheet name="1PageOutput" sheetId="15" r:id="rId4"/>
    <sheet name="GBPSONIA" sheetId="6" r:id="rId5"/>
  </sheets>
  <definedNames>
    <definedName name="Acq_date">LBO!$I$28</definedName>
    <definedName name="Acq_EBITDA">LBO!$M$28</definedName>
    <definedName name="Acq_multiple">LBO!$I$25</definedName>
    <definedName name="Currency">LBO!$I$10</definedName>
    <definedName name="Debt_EBITDA">LBO!$I$38</definedName>
    <definedName name="EBITDA_basis">LBO!$H$26</definedName>
    <definedName name="Existing_net_debt">LBO!$I$81</definedName>
    <definedName name="Exit_multiple">LBO!$I$27</definedName>
    <definedName name="First_FYE">LBO!$I$5</definedName>
    <definedName name="FYE_post_acq">LBO!$I$11</definedName>
    <definedName name="Hardcode_AC186">LBO!$AC$186</definedName>
    <definedName name="Hardcode_S118">LBO!$S$118</definedName>
    <definedName name="Hardcode_source_M103">LBO!$M$103</definedName>
    <definedName name="Hardcode_X191">LBO!$X$191</definedName>
    <definedName name="Holding_period">LBO!$I$30</definedName>
    <definedName name="MA_fees">LBO!$I$32</definedName>
    <definedName name="Min_cash">LBO!$H$50</definedName>
    <definedName name="Min_equity">LBO!$I$40</definedName>
    <definedName name="Pref_interest">LBO!$I$66</definedName>
    <definedName name="Project_name">LBO!$I$8</definedName>
    <definedName name="RCF_quantum">LBO!$H$56</definedName>
    <definedName name="RCF_switch">LBO!$I$56</definedName>
    <definedName name="Scenario_1">LBO!$I$17</definedName>
    <definedName name="Scenario_2">LBO!$I$18</definedName>
    <definedName name="Scenario_3">LBO!$I$19</definedName>
    <definedName name="Scenario_5">LBO!$I$21</definedName>
    <definedName name="Scenario_provider">LBO!$I$9</definedName>
    <definedName name="Scenario_selected">LBO!$I$20</definedName>
    <definedName name="Step_multiple">LBO!$J$25</definedName>
    <definedName name="stub">LBO!$I$29</definedName>
    <definedName name="Tax_rate">LBO!$I$12</definedName>
    <definedName name="TLA_split">LBO!$H$54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2" l="1"/>
  <c r="J40" i="2"/>
  <c r="K40" i="2"/>
  <c r="L40" i="2"/>
  <c r="M40" i="2"/>
  <c r="N40" i="2"/>
  <c r="O40" i="2"/>
  <c r="P40" i="2"/>
  <c r="I41" i="2"/>
  <c r="J41" i="2"/>
  <c r="K41" i="2"/>
  <c r="L41" i="2"/>
  <c r="M41" i="2"/>
  <c r="N41" i="2"/>
  <c r="O41" i="2"/>
  <c r="P41" i="2"/>
  <c r="H41" i="2"/>
  <c r="H40" i="2"/>
  <c r="I42" i="2"/>
  <c r="J42" i="2"/>
  <c r="K42" i="2"/>
  <c r="L42" i="2"/>
  <c r="M42" i="2"/>
  <c r="N42" i="2"/>
  <c r="O42" i="2"/>
  <c r="P42" i="2"/>
  <c r="I43" i="2"/>
  <c r="J43" i="2"/>
  <c r="K43" i="2"/>
  <c r="L43" i="2"/>
  <c r="M43" i="2"/>
  <c r="N43" i="2"/>
  <c r="O43" i="2"/>
  <c r="P43" i="2"/>
  <c r="I44" i="2"/>
  <c r="J44" i="2"/>
  <c r="K44" i="2"/>
  <c r="L44" i="2"/>
  <c r="M44" i="2"/>
  <c r="N44" i="2"/>
  <c r="O44" i="2"/>
  <c r="P44" i="2"/>
  <c r="H44" i="2"/>
  <c r="H43" i="2"/>
  <c r="H42" i="2"/>
  <c r="I34" i="2"/>
  <c r="J34" i="2"/>
  <c r="K34" i="2"/>
  <c r="L34" i="2"/>
  <c r="M34" i="2"/>
  <c r="N34" i="2"/>
  <c r="O34" i="2"/>
  <c r="P34" i="2"/>
  <c r="I35" i="2"/>
  <c r="J35" i="2"/>
  <c r="K35" i="2"/>
  <c r="L35" i="2"/>
  <c r="M35" i="2"/>
  <c r="N35" i="2"/>
  <c r="O35" i="2"/>
  <c r="P35" i="2"/>
  <c r="H35" i="2"/>
  <c r="H34" i="2"/>
  <c r="I6" i="2"/>
  <c r="J6" i="2"/>
  <c r="K6" i="2"/>
  <c r="L6" i="2"/>
  <c r="M6" i="2"/>
  <c r="N6" i="2"/>
  <c r="O6" i="2"/>
  <c r="P6" i="2"/>
  <c r="I7" i="2"/>
  <c r="J7" i="2"/>
  <c r="K7" i="2"/>
  <c r="L7" i="2"/>
  <c r="M7" i="2"/>
  <c r="N7" i="2"/>
  <c r="O7" i="2"/>
  <c r="P7" i="2"/>
  <c r="I8" i="2"/>
  <c r="J8" i="2"/>
  <c r="K8" i="2"/>
  <c r="L8" i="2"/>
  <c r="M8" i="2"/>
  <c r="N8" i="2"/>
  <c r="O8" i="2"/>
  <c r="P8" i="2"/>
  <c r="I9" i="2"/>
  <c r="J9" i="2"/>
  <c r="K9" i="2"/>
  <c r="L9" i="2"/>
  <c r="M9" i="2"/>
  <c r="N9" i="2"/>
  <c r="O9" i="2"/>
  <c r="P9" i="2"/>
  <c r="H9" i="2"/>
  <c r="H8" i="2"/>
  <c r="H6" i="2"/>
  <c r="H7" i="2"/>
  <c r="H5" i="2"/>
  <c r="H20" i="2"/>
  <c r="B44" i="2"/>
  <c r="B43" i="2"/>
  <c r="B42" i="2"/>
  <c r="B41" i="2"/>
  <c r="B40" i="2"/>
  <c r="B36" i="2"/>
  <c r="B35" i="2"/>
  <c r="B34" i="2"/>
  <c r="B33" i="2"/>
  <c r="B32" i="2"/>
  <c r="B9" i="2"/>
  <c r="B8" i="2"/>
  <c r="B7" i="2"/>
  <c r="B6" i="2"/>
  <c r="B5" i="2"/>
  <c r="B19" i="2"/>
  <c r="B18" i="2"/>
  <c r="B17" i="2"/>
  <c r="B16" i="2"/>
  <c r="B15" i="2"/>
  <c r="B14" i="2"/>
  <c r="B13" i="2"/>
  <c r="G89" i="3"/>
  <c r="S119" i="3"/>
  <c r="S120" i="3" s="1"/>
  <c r="S117" i="3"/>
  <c r="S116" i="3" s="1"/>
  <c r="B111" i="3"/>
  <c r="J11" i="3"/>
  <c r="H203" i="3"/>
  <c r="I26" i="3"/>
  <c r="G109" i="3" s="1"/>
  <c r="H39" i="3"/>
  <c r="I27" i="3"/>
  <c r="G9" i="2"/>
  <c r="G8" i="2"/>
  <c r="G6" i="2"/>
  <c r="G44" i="2"/>
  <c r="G43" i="2"/>
  <c r="G42" i="2"/>
  <c r="G36" i="2"/>
  <c r="G35" i="2"/>
  <c r="G34" i="2"/>
  <c r="G20" i="2"/>
  <c r="G18" i="2"/>
  <c r="G17" i="2"/>
  <c r="G16" i="2"/>
  <c r="G15" i="2"/>
  <c r="S43" i="25"/>
  <c r="R43" i="25"/>
  <c r="Q43" i="25"/>
  <c r="P43" i="25"/>
  <c r="O43" i="25"/>
  <c r="N43" i="25"/>
  <c r="M43" i="25"/>
  <c r="L43" i="25"/>
  <c r="K43" i="25"/>
  <c r="J43" i="25"/>
  <c r="S36" i="25"/>
  <c r="R36" i="25"/>
  <c r="Q36" i="25"/>
  <c r="P36" i="25"/>
  <c r="O36" i="25"/>
  <c r="N36" i="25"/>
  <c r="M36" i="25"/>
  <c r="L36" i="25"/>
  <c r="K36" i="25"/>
  <c r="J36" i="25"/>
  <c r="S30" i="25"/>
  <c r="R30" i="25"/>
  <c r="Q30" i="25"/>
  <c r="P30" i="25"/>
  <c r="O30" i="25"/>
  <c r="N30" i="25"/>
  <c r="M30" i="25"/>
  <c r="L30" i="25"/>
  <c r="K30" i="25"/>
  <c r="J30" i="25"/>
  <c r="Q23" i="25"/>
  <c r="P23" i="25"/>
  <c r="O23" i="25"/>
  <c r="S11" i="25"/>
  <c r="R11" i="25"/>
  <c r="Q11" i="25"/>
  <c r="P11" i="25"/>
  <c r="O11" i="25"/>
  <c r="N11" i="25"/>
  <c r="M11" i="25"/>
  <c r="L11" i="25"/>
  <c r="K11" i="25"/>
  <c r="J11" i="25"/>
  <c r="R24" i="3"/>
  <c r="J36" i="2" l="1"/>
  <c r="L36" i="2"/>
  <c r="N36" i="2"/>
  <c r="P36" i="2"/>
  <c r="I36" i="2"/>
  <c r="K36" i="2"/>
  <c r="M36" i="2"/>
  <c r="O36" i="2"/>
  <c r="H36" i="2"/>
  <c r="J20" i="2"/>
  <c r="L20" i="2"/>
  <c r="N20" i="2"/>
  <c r="P20" i="2"/>
  <c r="I20" i="2"/>
  <c r="K20" i="2"/>
  <c r="M20" i="2"/>
  <c r="O20" i="2"/>
  <c r="Q20" i="25"/>
  <c r="Q21" i="25"/>
  <c r="Q22" i="25" l="1"/>
  <c r="P20" i="25"/>
  <c r="P21" i="25"/>
  <c r="O20" i="25"/>
  <c r="O21" i="25"/>
  <c r="N20" i="25"/>
  <c r="M20" i="25"/>
  <c r="L20" i="25"/>
  <c r="K20" i="25"/>
  <c r="J20" i="25"/>
  <c r="P22" i="25"/>
  <c r="O22" i="25"/>
  <c r="S20" i="25" l="1"/>
  <c r="R20" i="25"/>
  <c r="C72" i="3" l="1"/>
  <c r="B2" i="2"/>
  <c r="I127" i="3"/>
  <c r="Q125" i="3" s="1"/>
  <c r="J91" i="3"/>
  <c r="J90" i="3"/>
  <c r="Q170" i="3" l="1"/>
  <c r="P170" i="3"/>
  <c r="O170" i="3"/>
  <c r="N170" i="3"/>
  <c r="M170" i="3"/>
  <c r="L170" i="3"/>
  <c r="D26" i="15"/>
  <c r="C32" i="15"/>
  <c r="B32" i="15" l="1"/>
  <c r="H257" i="3" l="1"/>
  <c r="K257" i="3" s="1"/>
  <c r="B115" i="3" l="1"/>
  <c r="H26" i="15" l="1"/>
  <c r="AD186" i="3" l="1"/>
  <c r="AE186" i="3" s="1"/>
  <c r="AF186" i="3" s="1"/>
  <c r="AG186" i="3" s="1"/>
  <c r="K294" i="3"/>
  <c r="J177" i="3"/>
  <c r="K236" i="3"/>
  <c r="K234" i="3"/>
  <c r="AB186" i="3" l="1"/>
  <c r="AA186" i="3" s="1"/>
  <c r="Z186" i="3" s="1"/>
  <c r="Y186" i="3" s="1"/>
  <c r="X190" i="3"/>
  <c r="X189" i="3" s="1"/>
  <c r="X188" i="3" s="1"/>
  <c r="X187" i="3" s="1"/>
  <c r="X192" i="3" l="1"/>
  <c r="X193" i="3" s="1"/>
  <c r="X194" i="3" s="1"/>
  <c r="X195" i="3" s="1"/>
  <c r="L234" i="3" l="1"/>
  <c r="L236" i="3"/>
  <c r="C71" i="3"/>
  <c r="B112" i="3" l="1"/>
  <c r="B110" i="3"/>
  <c r="R234" i="3"/>
  <c r="R236" i="3"/>
  <c r="G25" i="3"/>
  <c r="H253" i="3"/>
  <c r="G306" i="3"/>
  <c r="G305" i="3"/>
  <c r="B103" i="3" l="1"/>
  <c r="I41" i="3"/>
  <c r="G290" i="3"/>
  <c r="M234" i="3"/>
  <c r="N234" i="3"/>
  <c r="O234" i="3"/>
  <c r="P234" i="3"/>
  <c r="M236" i="3"/>
  <c r="N236" i="3"/>
  <c r="O236" i="3"/>
  <c r="P236" i="3"/>
  <c r="H243" i="3"/>
  <c r="H242" i="3"/>
  <c r="H258" i="3"/>
  <c r="H275" i="3"/>
  <c r="H266" i="3"/>
  <c r="H274" i="3"/>
  <c r="H265" i="3"/>
  <c r="H255" i="3"/>
  <c r="H254" i="3"/>
  <c r="K251" i="3"/>
  <c r="J247" i="3" l="1"/>
  <c r="K232" i="3" s="1"/>
  <c r="C37" i="15"/>
  <c r="I45" i="3"/>
  <c r="I47" i="3"/>
  <c r="K91" i="3" s="1"/>
  <c r="I46" i="3"/>
  <c r="K90" i="3" s="1"/>
  <c r="H223" i="3" l="1"/>
  <c r="G224" i="3"/>
  <c r="G225" i="3"/>
  <c r="G226" i="3"/>
  <c r="G223" i="3"/>
  <c r="H224" i="3"/>
  <c r="H225" i="3"/>
  <c r="H226" i="3"/>
  <c r="F223" i="3"/>
  <c r="H220" i="3"/>
  <c r="F226" i="3"/>
  <c r="L223" i="3" l="1"/>
  <c r="B116" i="3"/>
  <c r="O59" i="2"/>
  <c r="P131" i="3" s="1"/>
  <c r="N59" i="2"/>
  <c r="O131" i="3" s="1"/>
  <c r="M59" i="2"/>
  <c r="N131" i="3" s="1"/>
  <c r="L59" i="2"/>
  <c r="M131" i="3" s="1"/>
  <c r="K59" i="2"/>
  <c r="L131" i="3" s="1"/>
  <c r="J59" i="2"/>
  <c r="K131" i="3" s="1"/>
  <c r="I59" i="2"/>
  <c r="J131" i="3" s="1"/>
  <c r="H59" i="2"/>
  <c r="G196" i="3"/>
  <c r="G191" i="3"/>
  <c r="R151" i="3"/>
  <c r="I2" i="2"/>
  <c r="J2" i="2"/>
  <c r="K2" i="2"/>
  <c r="L2" i="2"/>
  <c r="M2" i="2"/>
  <c r="N2" i="2"/>
  <c r="O2" i="2"/>
  <c r="P2" i="2"/>
  <c r="Q2" i="2" s="1"/>
  <c r="H2" i="2"/>
  <c r="H3" i="2"/>
  <c r="J5" i="3"/>
  <c r="K5" i="3" s="1"/>
  <c r="L5" i="3" s="1"/>
  <c r="M5" i="3" s="1"/>
  <c r="I126" i="3" s="1" a="1"/>
  <c r="H49" i="2" l="1"/>
  <c r="H52" i="2" s="1"/>
  <c r="H32" i="2"/>
  <c r="H33" i="2"/>
  <c r="H14" i="2"/>
  <c r="H15" i="2"/>
  <c r="H13" i="2"/>
  <c r="H18" i="2"/>
  <c r="H17" i="2"/>
  <c r="H16" i="2"/>
  <c r="H19" i="2"/>
  <c r="I131" i="3"/>
  <c r="N5" i="3"/>
  <c r="R302" i="3"/>
  <c r="R229" i="3"/>
  <c r="B117" i="3"/>
  <c r="H28" i="2"/>
  <c r="O28" i="2"/>
  <c r="M28" i="2"/>
  <c r="K28" i="2"/>
  <c r="L28" i="2"/>
  <c r="N28" i="2"/>
  <c r="I28" i="2"/>
  <c r="J28" i="2"/>
  <c r="K3" i="2"/>
  <c r="L3" i="2"/>
  <c r="J3" i="2"/>
  <c r="I3" i="2"/>
  <c r="H21" i="2" l="1"/>
  <c r="H45" i="2"/>
  <c r="I134" i="3" s="1"/>
  <c r="H53" i="2"/>
  <c r="K49" i="2"/>
  <c r="L49" i="2"/>
  <c r="J49" i="2"/>
  <c r="J52" i="2" s="1"/>
  <c r="I49" i="2"/>
  <c r="I52" i="2" s="1"/>
  <c r="H38" i="2"/>
  <c r="H37" i="2"/>
  <c r="K32" i="2"/>
  <c r="K33" i="2"/>
  <c r="L32" i="2"/>
  <c r="L33" i="2"/>
  <c r="J32" i="2"/>
  <c r="J33" i="2"/>
  <c r="I32" i="2"/>
  <c r="I33" i="2"/>
  <c r="K13" i="2"/>
  <c r="K14" i="2"/>
  <c r="K19" i="2"/>
  <c r="K18" i="2"/>
  <c r="K17" i="2"/>
  <c r="K16" i="2"/>
  <c r="K15" i="2"/>
  <c r="L13" i="2"/>
  <c r="L14" i="2"/>
  <c r="L19" i="2"/>
  <c r="L18" i="2"/>
  <c r="L15" i="2"/>
  <c r="L17" i="2"/>
  <c r="L16" i="2"/>
  <c r="J13" i="2"/>
  <c r="J14" i="2"/>
  <c r="J19" i="2"/>
  <c r="J18" i="2"/>
  <c r="J17" i="2"/>
  <c r="J16" i="2"/>
  <c r="J15" i="2"/>
  <c r="I13" i="2"/>
  <c r="I14" i="2"/>
  <c r="I19" i="2"/>
  <c r="I18" i="2"/>
  <c r="I17" i="2"/>
  <c r="I15" i="2"/>
  <c r="I16" i="2"/>
  <c r="H29" i="2"/>
  <c r="H46" i="2"/>
  <c r="H10" i="2"/>
  <c r="K5" i="2"/>
  <c r="R1" i="2"/>
  <c r="L5" i="2"/>
  <c r="Q1" i="2"/>
  <c r="R3" i="2" s="1"/>
  <c r="J5" i="2"/>
  <c r="I5" i="2"/>
  <c r="O5" i="3"/>
  <c r="M3" i="2"/>
  <c r="P59" i="2"/>
  <c r="B118" i="3"/>
  <c r="B119" i="3"/>
  <c r="J45" i="2" l="1"/>
  <c r="K134" i="3" s="1"/>
  <c r="K21" i="2"/>
  <c r="L130" i="3" s="1"/>
  <c r="L21" i="2"/>
  <c r="J21" i="2"/>
  <c r="J53" i="2"/>
  <c r="I21" i="2"/>
  <c r="I45" i="2"/>
  <c r="J134" i="3" s="1"/>
  <c r="I53" i="2"/>
  <c r="K45" i="2"/>
  <c r="L134" i="3" s="1"/>
  <c r="L45" i="2"/>
  <c r="M134" i="3" s="1"/>
  <c r="M49" i="2"/>
  <c r="K38" i="2"/>
  <c r="K37" i="2"/>
  <c r="L38" i="2"/>
  <c r="L37" i="2"/>
  <c r="I38" i="2"/>
  <c r="I37" i="2"/>
  <c r="J38" i="2"/>
  <c r="J37" i="2"/>
  <c r="H23" i="2"/>
  <c r="I130" i="3"/>
  <c r="I132" i="3" s="1"/>
  <c r="I135" i="3" s="1"/>
  <c r="M32" i="2"/>
  <c r="M33" i="2"/>
  <c r="M19" i="2"/>
  <c r="M13" i="2"/>
  <c r="M14" i="2"/>
  <c r="M18" i="2"/>
  <c r="M17" i="2"/>
  <c r="M15" i="2"/>
  <c r="M16" i="2"/>
  <c r="H22" i="2"/>
  <c r="H30" i="2"/>
  <c r="H60" i="2"/>
  <c r="H47" i="2"/>
  <c r="I128" i="3"/>
  <c r="H11" i="2"/>
  <c r="K29" i="2"/>
  <c r="K46" i="2"/>
  <c r="K10" i="2"/>
  <c r="L29" i="2"/>
  <c r="L46" i="2"/>
  <c r="L10" i="2"/>
  <c r="J29" i="2"/>
  <c r="J46" i="2"/>
  <c r="J10" i="2"/>
  <c r="I29" i="2"/>
  <c r="I46" i="2"/>
  <c r="I10" i="2"/>
  <c r="M5" i="2"/>
  <c r="P5" i="3"/>
  <c r="N3" i="2"/>
  <c r="Q131" i="3"/>
  <c r="P28" i="2"/>
  <c r="B120" i="3"/>
  <c r="K23" i="2" l="1"/>
  <c r="K130" i="3"/>
  <c r="M21" i="2"/>
  <c r="M45" i="2"/>
  <c r="N134" i="3" s="1"/>
  <c r="N49" i="2"/>
  <c r="M38" i="2"/>
  <c r="I133" i="3"/>
  <c r="M37" i="2"/>
  <c r="N32" i="2"/>
  <c r="N33" i="2"/>
  <c r="L23" i="2"/>
  <c r="M130" i="3"/>
  <c r="J23" i="2"/>
  <c r="I23" i="2"/>
  <c r="J130" i="3"/>
  <c r="N13" i="2"/>
  <c r="N14" i="2"/>
  <c r="N19" i="2"/>
  <c r="N18" i="2"/>
  <c r="N16" i="2"/>
  <c r="N15" i="2"/>
  <c r="N17" i="2"/>
  <c r="K11" i="2"/>
  <c r="L128" i="3"/>
  <c r="K30" i="2"/>
  <c r="K47" i="2"/>
  <c r="K60" i="2"/>
  <c r="K22" i="2"/>
  <c r="J11" i="2"/>
  <c r="J30" i="2"/>
  <c r="J47" i="2"/>
  <c r="J60" i="2"/>
  <c r="J22" i="2"/>
  <c r="K128" i="3"/>
  <c r="I22" i="2"/>
  <c r="I30" i="2"/>
  <c r="I47" i="2"/>
  <c r="I60" i="2"/>
  <c r="I11" i="2"/>
  <c r="J128" i="3"/>
  <c r="J129" i="3" s="1"/>
  <c r="M29" i="2"/>
  <c r="M46" i="2"/>
  <c r="M10" i="2"/>
  <c r="N5" i="2"/>
  <c r="O3" i="2"/>
  <c r="Q5" i="3"/>
  <c r="P3" i="2" s="1"/>
  <c r="Q28" i="2"/>
  <c r="B127" i="3"/>
  <c r="N21" i="2" l="1"/>
  <c r="N45" i="2"/>
  <c r="O49" i="2"/>
  <c r="P49" i="2"/>
  <c r="N38" i="2"/>
  <c r="N37" i="2"/>
  <c r="O33" i="2"/>
  <c r="O32" i="2"/>
  <c r="P32" i="2"/>
  <c r="P33" i="2"/>
  <c r="M23" i="2"/>
  <c r="N130" i="3"/>
  <c r="N132" i="3" s="1"/>
  <c r="O13" i="2"/>
  <c r="O19" i="2"/>
  <c r="O14" i="2"/>
  <c r="O18" i="2"/>
  <c r="O17" i="2"/>
  <c r="O16" i="2"/>
  <c r="O15" i="2"/>
  <c r="P19" i="2"/>
  <c r="P13" i="2"/>
  <c r="P14" i="2"/>
  <c r="P18" i="2"/>
  <c r="P17" i="2"/>
  <c r="P16" i="2"/>
  <c r="P15" i="2"/>
  <c r="K129" i="3"/>
  <c r="N10" i="2"/>
  <c r="L129" i="3"/>
  <c r="N29" i="2"/>
  <c r="O5" i="2"/>
  <c r="P5" i="2"/>
  <c r="S1" i="2"/>
  <c r="S3" i="2" s="1"/>
  <c r="Q3" i="2"/>
  <c r="G127" i="3"/>
  <c r="G126" i="3"/>
  <c r="L151" i="3" s="1"/>
  <c r="J132" i="3"/>
  <c r="K132" i="3"/>
  <c r="K133" i="3" s="1"/>
  <c r="L132" i="3"/>
  <c r="M132" i="3"/>
  <c r="K77" i="3"/>
  <c r="I63" i="3"/>
  <c r="H61" i="3"/>
  <c r="H55" i="3"/>
  <c r="F225" i="3"/>
  <c r="B91" i="3"/>
  <c r="B90" i="3"/>
  <c r="I73" i="3"/>
  <c r="C73" i="3"/>
  <c r="I31" i="3"/>
  <c r="M184" i="3"/>
  <c r="I59" i="3"/>
  <c r="J59" i="3" s="1"/>
  <c r="I29" i="3"/>
  <c r="Q41" i="2" l="1"/>
  <c r="I101" i="3"/>
  <c r="H210" i="3"/>
  <c r="Q29" i="2"/>
  <c r="P37" i="2"/>
  <c r="O21" i="2"/>
  <c r="P21" i="2"/>
  <c r="O45" i="2"/>
  <c r="P45" i="2"/>
  <c r="O38" i="2"/>
  <c r="O37" i="2"/>
  <c r="P38" i="2"/>
  <c r="Q38" i="2" s="1"/>
  <c r="O130" i="3"/>
  <c r="O132" i="3" s="1"/>
  <c r="N23" i="2"/>
  <c r="O29" i="2"/>
  <c r="O10" i="2"/>
  <c r="P29" i="2"/>
  <c r="P10" i="2"/>
  <c r="L133" i="3"/>
  <c r="J135" i="3"/>
  <c r="J133" i="3"/>
  <c r="L152" i="3"/>
  <c r="N135" i="3"/>
  <c r="M135" i="3"/>
  <c r="L135" i="3"/>
  <c r="K302" i="3"/>
  <c r="K281" i="3"/>
  <c r="K218" i="3"/>
  <c r="X206" i="3"/>
  <c r="M182" i="3"/>
  <c r="M80" i="3"/>
  <c r="N80" i="3" s="1"/>
  <c r="O80" i="3" s="1"/>
  <c r="K135" i="3"/>
  <c r="I183" i="3"/>
  <c r="S152" i="3"/>
  <c r="R152" i="3"/>
  <c r="H65" i="3"/>
  <c r="G195" i="3"/>
  <c r="L184" i="3"/>
  <c r="L182" i="3" s="1"/>
  <c r="N184" i="3"/>
  <c r="N182" i="3" s="1"/>
  <c r="I65" i="3"/>
  <c r="G192" i="3"/>
  <c r="I152" i="3"/>
  <c r="I137" i="3" s="1"/>
  <c r="I151" i="3"/>
  <c r="F224" i="3"/>
  <c r="P130" i="3" l="1"/>
  <c r="P132" i="3" s="1"/>
  <c r="O23" i="2"/>
  <c r="Q130" i="3"/>
  <c r="Q132" i="3" s="1"/>
  <c r="P23" i="2"/>
  <c r="K303" i="3"/>
  <c r="K282" i="3"/>
  <c r="K219" i="3"/>
  <c r="L219" i="3" s="1"/>
  <c r="M152" i="3"/>
  <c r="K230" i="3"/>
  <c r="I150" i="3"/>
  <c r="O184" i="3"/>
  <c r="O182" i="3" s="1"/>
  <c r="X207" i="3"/>
  <c r="K184" i="3"/>
  <c r="K182" i="3" s="1"/>
  <c r="X205" i="3"/>
  <c r="R303" i="3"/>
  <c r="H209" i="3" s="1"/>
  <c r="R230" i="3"/>
  <c r="S151" i="3"/>
  <c r="B185" i="3"/>
  <c r="G183" i="3"/>
  <c r="L220" i="3" l="1"/>
  <c r="M219" i="3"/>
  <c r="N219" i="3" s="1"/>
  <c r="O219" i="3" s="1"/>
  <c r="P219" i="3" s="1"/>
  <c r="Q219" i="3" s="1"/>
  <c r="R219" i="3" s="1"/>
  <c r="S219" i="3" s="1"/>
  <c r="T219" i="3" s="1"/>
  <c r="U219" i="3" s="1"/>
  <c r="M160" i="3"/>
  <c r="M161" i="3"/>
  <c r="M159" i="3"/>
  <c r="L230" i="3"/>
  <c r="L303" i="3"/>
  <c r="H205" i="3" s="1"/>
  <c r="L282" i="3"/>
  <c r="N152" i="3"/>
  <c r="J184" i="3"/>
  <c r="J182" i="3" s="1"/>
  <c r="X204" i="3"/>
  <c r="P184" i="3"/>
  <c r="P182" i="3" s="1"/>
  <c r="X208" i="3"/>
  <c r="O152" i="3" l="1"/>
  <c r="M303" i="3"/>
  <c r="M282" i="3"/>
  <c r="Q184" i="3"/>
  <c r="X209" i="3"/>
  <c r="I184" i="3"/>
  <c r="X203" i="3"/>
  <c r="P152" i="3" l="1"/>
  <c r="N282" i="3"/>
  <c r="N303" i="3"/>
  <c r="X202" i="3"/>
  <c r="I182" i="3"/>
  <c r="X210" i="3"/>
  <c r="Q182" i="3"/>
  <c r="Q152" i="3" l="1"/>
  <c r="O282" i="3"/>
  <c r="O303" i="3"/>
  <c r="P303" i="3" l="1"/>
  <c r="P282" i="3"/>
  <c r="I4" i="3"/>
  <c r="K127" i="3" l="1"/>
  <c r="J127" i="3"/>
  <c r="K4" i="3"/>
  <c r="L127" i="3"/>
  <c r="J4" i="3"/>
  <c r="R125" i="3" l="1"/>
  <c r="J152" i="3"/>
  <c r="J150" i="3" s="1"/>
  <c r="J151" i="3"/>
  <c r="L4" i="3"/>
  <c r="M127" i="3"/>
  <c r="R134" i="3" l="1"/>
  <c r="R135" i="3"/>
  <c r="R128" i="3"/>
  <c r="R127" i="3"/>
  <c r="M151" i="3"/>
  <c r="K229" i="3" s="1"/>
  <c r="R132" i="3"/>
  <c r="L159" i="3"/>
  <c r="L160" i="3"/>
  <c r="L161" i="3"/>
  <c r="L157" i="3"/>
  <c r="M287" i="3"/>
  <c r="H206" i="3"/>
  <c r="H204" i="3"/>
  <c r="K287" i="3"/>
  <c r="K284" i="3"/>
  <c r="K220" i="3"/>
  <c r="M220" i="3"/>
  <c r="J137" i="3"/>
  <c r="G134" i="3"/>
  <c r="G130" i="3"/>
  <c r="L153" i="3" s="1"/>
  <c r="G128" i="3"/>
  <c r="G131" i="3"/>
  <c r="L154" i="3" s="1"/>
  <c r="M4" i="3"/>
  <c r="N127" i="3"/>
  <c r="N151" i="3" l="1"/>
  <c r="L229" i="3" s="1"/>
  <c r="K283" i="3"/>
  <c r="M230" i="3"/>
  <c r="M284" i="3"/>
  <c r="H207" i="3"/>
  <c r="O47" i="3"/>
  <c r="K221" i="3"/>
  <c r="A221" i="3" s="1"/>
  <c r="J41" i="3"/>
  <c r="N287" i="3"/>
  <c r="N284" i="3"/>
  <c r="N161" i="3"/>
  <c r="N160" i="3"/>
  <c r="N159" i="3"/>
  <c r="O45" i="3"/>
  <c r="O46" i="3"/>
  <c r="K224" i="3"/>
  <c r="K252" i="3" s="1"/>
  <c r="K225" i="3"/>
  <c r="K226" i="3"/>
  <c r="K223" i="3"/>
  <c r="K246" i="3" s="1"/>
  <c r="M225" i="3"/>
  <c r="M224" i="3"/>
  <c r="M223" i="3"/>
  <c r="M226" i="3"/>
  <c r="N220" i="3"/>
  <c r="N230" i="3"/>
  <c r="G132" i="3"/>
  <c r="G133" i="3" s="1"/>
  <c r="N4" i="3"/>
  <c r="O127" i="3"/>
  <c r="O151" i="3" l="1"/>
  <c r="L287" i="3"/>
  <c r="L284" i="3"/>
  <c r="L225" i="3"/>
  <c r="L226" i="3"/>
  <c r="L224" i="3"/>
  <c r="H208" i="3"/>
  <c r="O161" i="3"/>
  <c r="O287" i="3"/>
  <c r="O284" i="3"/>
  <c r="N225" i="3"/>
  <c r="N224" i="3"/>
  <c r="N223" i="3"/>
  <c r="N226" i="3"/>
  <c r="O220" i="3"/>
  <c r="O230" i="3"/>
  <c r="G135" i="3"/>
  <c r="O4" i="3"/>
  <c r="P127" i="3"/>
  <c r="P151" i="3" l="1"/>
  <c r="S125" i="3"/>
  <c r="P161" i="3"/>
  <c r="P287" i="3"/>
  <c r="P284" i="3"/>
  <c r="O225" i="3"/>
  <c r="O224" i="3"/>
  <c r="O223" i="3"/>
  <c r="O226" i="3"/>
  <c r="P220" i="3"/>
  <c r="P230" i="3"/>
  <c r="P4" i="3"/>
  <c r="S127" i="3" l="1"/>
  <c r="S132" i="3"/>
  <c r="G103" i="3"/>
  <c r="I72" i="3"/>
  <c r="Q161" i="3"/>
  <c r="P225" i="3"/>
  <c r="P226" i="3"/>
  <c r="P224" i="3"/>
  <c r="P223" i="3"/>
  <c r="Q4" i="3"/>
  <c r="Q127" i="3"/>
  <c r="N153" i="3" l="1"/>
  <c r="N154" i="3"/>
  <c r="P153" i="3"/>
  <c r="O154" i="3"/>
  <c r="M26" i="3"/>
  <c r="G111" i="3" s="1"/>
  <c r="M25" i="3"/>
  <c r="G110" i="3" s="1"/>
  <c r="O153" i="3"/>
  <c r="M27" i="3"/>
  <c r="G112" i="3" s="1"/>
  <c r="M154" i="3"/>
  <c r="M153" i="3"/>
  <c r="Q151" i="3"/>
  <c r="Q154" i="3"/>
  <c r="I39" i="3"/>
  <c r="I89" i="3" s="1"/>
  <c r="I74" i="3"/>
  <c r="P154" i="3"/>
  <c r="Q153" i="3"/>
  <c r="Q220" i="3"/>
  <c r="D25" i="15" l="1"/>
  <c r="M102" i="3"/>
  <c r="N102" i="3" s="1"/>
  <c r="O102" i="3" s="1"/>
  <c r="P102" i="3" s="1"/>
  <c r="Q102" i="3" s="1"/>
  <c r="N283" i="3"/>
  <c r="L283" i="3"/>
  <c r="O283" i="3"/>
  <c r="M283" i="3"/>
  <c r="P283" i="3"/>
  <c r="I80" i="3"/>
  <c r="C31" i="15" s="1"/>
  <c r="R170" i="3"/>
  <c r="S170" i="3" s="1"/>
  <c r="Q225" i="3"/>
  <c r="Q226" i="3"/>
  <c r="Q224" i="3"/>
  <c r="Q223" i="3"/>
  <c r="R220" i="3"/>
  <c r="R161" i="3"/>
  <c r="S161" i="3" s="1"/>
  <c r="R153" i="3"/>
  <c r="R154" i="3"/>
  <c r="S154" i="3" s="1"/>
  <c r="M103" i="3" l="1"/>
  <c r="M100" i="3" s="1"/>
  <c r="L102" i="3"/>
  <c r="AC201" i="3"/>
  <c r="R225" i="3"/>
  <c r="R223" i="3"/>
  <c r="R226" i="3"/>
  <c r="R224" i="3"/>
  <c r="S220" i="3"/>
  <c r="S153" i="3"/>
  <c r="L103" i="3" l="1"/>
  <c r="K102" i="3"/>
  <c r="N103" i="3"/>
  <c r="O103" i="3"/>
  <c r="AB201" i="3"/>
  <c r="S225" i="3"/>
  <c r="S223" i="3"/>
  <c r="S226" i="3"/>
  <c r="S224" i="3"/>
  <c r="T220" i="3"/>
  <c r="G185" i="3"/>
  <c r="L100" i="3" l="1"/>
  <c r="K103" i="3"/>
  <c r="J102" i="3"/>
  <c r="I102" i="3" s="1"/>
  <c r="I103" i="3" s="1"/>
  <c r="Q103" i="3"/>
  <c r="P103" i="3"/>
  <c r="AA201" i="3"/>
  <c r="Q185" i="3"/>
  <c r="Q186" i="3" s="1"/>
  <c r="P185" i="3"/>
  <c r="P186" i="3" s="1"/>
  <c r="O185" i="3"/>
  <c r="O186" i="3" s="1"/>
  <c r="N185" i="3"/>
  <c r="N186" i="3" s="1"/>
  <c r="M185" i="3"/>
  <c r="M186" i="3" s="1"/>
  <c r="H25" i="15" s="1"/>
  <c r="L185" i="3"/>
  <c r="L186" i="3" s="1"/>
  <c r="K185" i="3"/>
  <c r="K186" i="3" s="1"/>
  <c r="J185" i="3"/>
  <c r="J186" i="3" s="1"/>
  <c r="I185" i="3"/>
  <c r="I186" i="3" s="1"/>
  <c r="T225" i="3"/>
  <c r="T223" i="3"/>
  <c r="T224" i="3"/>
  <c r="T226" i="3"/>
  <c r="U220" i="3"/>
  <c r="K100" i="3" l="1"/>
  <c r="J103" i="3"/>
  <c r="J100" i="3" s="1"/>
  <c r="I100" i="3"/>
  <c r="Z201" i="3"/>
  <c r="Y201" i="3"/>
  <c r="U226" i="3"/>
  <c r="U225" i="3"/>
  <c r="U224" i="3"/>
  <c r="U223" i="3"/>
  <c r="K118" i="3" l="1"/>
  <c r="O100" i="3"/>
  <c r="N100" i="3"/>
  <c r="AE201" i="3"/>
  <c r="AD201" i="3"/>
  <c r="P100" i="3" l="1"/>
  <c r="AF201" i="3"/>
  <c r="N118" i="3" l="1"/>
  <c r="L118" i="3"/>
  <c r="K119" i="3"/>
  <c r="Q100" i="3"/>
  <c r="AG201" i="3"/>
  <c r="K116" i="3" s="1"/>
  <c r="L120" i="3" l="1"/>
  <c r="J116" i="3"/>
  <c r="L119" i="3"/>
  <c r="L116" i="3"/>
  <c r="K120" i="3"/>
  <c r="L117" i="3"/>
  <c r="K117" i="3"/>
  <c r="M116" i="3"/>
  <c r="M120" i="3"/>
  <c r="M119" i="3"/>
  <c r="M118" i="3"/>
  <c r="M117" i="3"/>
  <c r="J117" i="3"/>
  <c r="J118" i="3"/>
  <c r="J119" i="3"/>
  <c r="J120" i="3"/>
  <c r="Q116" i="3"/>
  <c r="O118" i="3"/>
  <c r="P118" i="3"/>
  <c r="N120" i="3"/>
  <c r="I119" i="3"/>
  <c r="O116" i="3"/>
  <c r="N116" i="3"/>
  <c r="P120" i="3"/>
  <c r="I120" i="3"/>
  <c r="O119" i="3"/>
  <c r="I116" i="3"/>
  <c r="O120" i="3"/>
  <c r="P117" i="3"/>
  <c r="P119" i="3"/>
  <c r="I117" i="3"/>
  <c r="O117" i="3"/>
  <c r="N119" i="3"/>
  <c r="P116" i="3"/>
  <c r="N117" i="3"/>
  <c r="I118" i="3"/>
  <c r="Q120" i="3"/>
  <c r="Q118" i="3"/>
  <c r="Q119" i="3"/>
  <c r="Q117" i="3"/>
  <c r="B37" i="15" l="1"/>
  <c r="Q59" i="2" l="1"/>
  <c r="L11" i="2" l="1"/>
  <c r="L47" i="2" l="1"/>
  <c r="L30" i="2"/>
  <c r="M128" i="3"/>
  <c r="L60" i="2"/>
  <c r="L22" i="2"/>
  <c r="M11" i="2" l="1"/>
  <c r="M60" i="2"/>
  <c r="M22" i="2"/>
  <c r="M47" i="2"/>
  <c r="N128" i="3"/>
  <c r="M30" i="2"/>
  <c r="M133" i="3"/>
  <c r="M129" i="3"/>
  <c r="O160" i="3"/>
  <c r="O128" i="3"/>
  <c r="N11" i="2"/>
  <c r="N60" i="2"/>
  <c r="N22" i="2"/>
  <c r="N30" i="2"/>
  <c r="P160" i="3" l="1"/>
  <c r="Q160" i="3"/>
  <c r="R160" i="3" s="1"/>
  <c r="N133" i="3"/>
  <c r="N129" i="3"/>
  <c r="O11" i="2"/>
  <c r="O60" i="2"/>
  <c r="P60" i="2" s="1"/>
  <c r="Q60" i="2" s="1"/>
  <c r="O22" i="2"/>
  <c r="P128" i="3"/>
  <c r="O30" i="2"/>
  <c r="O129" i="3"/>
  <c r="O133" i="3"/>
  <c r="P30" i="2"/>
  <c r="P11" i="2"/>
  <c r="Q11" i="2" s="1"/>
  <c r="Q10" i="2" s="1"/>
  <c r="P22" i="2"/>
  <c r="Q22" i="2" s="1"/>
  <c r="Q128" i="3"/>
  <c r="S160" i="3" l="1"/>
  <c r="Q30" i="2"/>
  <c r="Q37" i="2"/>
  <c r="Q21" i="2"/>
  <c r="Q23" i="2" s="1"/>
  <c r="O159" i="3"/>
  <c r="N46" i="2"/>
  <c r="Q129" i="3"/>
  <c r="Q133" i="3"/>
  <c r="P129" i="3"/>
  <c r="P133" i="3"/>
  <c r="S128" i="3"/>
  <c r="Q159" i="3" l="1"/>
  <c r="R159" i="3" s="1"/>
  <c r="P46" i="2"/>
  <c r="Q46" i="2" s="1"/>
  <c r="Q40" i="2" s="1"/>
  <c r="Q45" i="2" s="1"/>
  <c r="N47" i="2"/>
  <c r="O134" i="3"/>
  <c r="O135" i="3" s="1"/>
  <c r="P159" i="3"/>
  <c r="O46" i="2"/>
  <c r="S159" i="3" l="1"/>
  <c r="P47" i="2"/>
  <c r="Q47" i="2" s="1"/>
  <c r="Q134" i="3"/>
  <c r="Q135" i="3" s="1"/>
  <c r="O47" i="2"/>
  <c r="P134" i="3"/>
  <c r="S134" i="3" l="1"/>
  <c r="P135" i="3"/>
  <c r="S135" i="3" s="1"/>
  <c r="B6" i="15" l="1"/>
  <c r="D6" i="15"/>
  <c r="H6" i="15"/>
  <c r="H14" i="15"/>
  <c r="H17" i="15"/>
  <c r="H18" i="15"/>
  <c r="H19" i="15"/>
  <c r="C33" i="15"/>
  <c r="C36" i="15"/>
  <c r="B38" i="15"/>
  <c r="C38" i="15"/>
  <c r="C39" i="15"/>
  <c r="B41" i="15"/>
  <c r="C41" i="15"/>
  <c r="C42" i="15"/>
  <c r="I33" i="3"/>
  <c r="I34" i="3"/>
  <c r="A41" i="3"/>
  <c r="I53" i="3"/>
  <c r="J53" i="3"/>
  <c r="I54" i="3"/>
  <c r="I55" i="3"/>
  <c r="M72" i="3"/>
  <c r="N72" i="3"/>
  <c r="O72" i="3"/>
  <c r="P72" i="3"/>
  <c r="M73" i="3"/>
  <c r="N73" i="3"/>
  <c r="O73" i="3"/>
  <c r="M74" i="3"/>
  <c r="N74" i="3"/>
  <c r="O74" i="3"/>
  <c r="I75" i="3"/>
  <c r="M75" i="3"/>
  <c r="N75" i="3"/>
  <c r="O75" i="3"/>
  <c r="P75" i="3"/>
  <c r="A76" i="3"/>
  <c r="I76" i="3"/>
  <c r="M76" i="3"/>
  <c r="N76" i="3"/>
  <c r="O76" i="3"/>
  <c r="I77" i="3"/>
  <c r="M81" i="3"/>
  <c r="N81" i="3"/>
  <c r="O81" i="3"/>
  <c r="I82" i="3"/>
  <c r="M82" i="3"/>
  <c r="N82" i="3"/>
  <c r="O82" i="3"/>
  <c r="I83" i="3"/>
  <c r="J83" i="3"/>
  <c r="A84" i="3"/>
  <c r="H89" i="3"/>
  <c r="G90" i="3"/>
  <c r="H90" i="3"/>
  <c r="I90" i="3"/>
  <c r="G91" i="3"/>
  <c r="H91" i="3"/>
  <c r="I91" i="3"/>
  <c r="G92" i="3"/>
  <c r="H92" i="3"/>
  <c r="I92" i="3"/>
  <c r="J92" i="3"/>
  <c r="K92" i="3"/>
  <c r="L92" i="3"/>
  <c r="G93" i="3"/>
  <c r="H93" i="3"/>
  <c r="I93" i="3"/>
  <c r="G94" i="3"/>
  <c r="H94" i="3"/>
  <c r="I94" i="3"/>
  <c r="G95" i="3"/>
  <c r="H95" i="3"/>
  <c r="I95" i="3"/>
  <c r="G96" i="3"/>
  <c r="H96" i="3"/>
  <c r="I96" i="3"/>
  <c r="G97" i="3"/>
  <c r="I104" i="3"/>
  <c r="J104" i="3"/>
  <c r="K104" i="3"/>
  <c r="L104" i="3"/>
  <c r="M104" i="3"/>
  <c r="N104" i="3"/>
  <c r="O104" i="3"/>
  <c r="P104" i="3"/>
  <c r="Q104" i="3"/>
  <c r="I105" i="3"/>
  <c r="J105" i="3"/>
  <c r="K105" i="3"/>
  <c r="L105" i="3"/>
  <c r="M105" i="3"/>
  <c r="N105" i="3"/>
  <c r="O105" i="3"/>
  <c r="P105" i="3"/>
  <c r="Q105" i="3"/>
  <c r="I109" i="3"/>
  <c r="J109" i="3"/>
  <c r="K109" i="3"/>
  <c r="L109" i="3"/>
  <c r="M109" i="3"/>
  <c r="N109" i="3"/>
  <c r="O109" i="3"/>
  <c r="P109" i="3"/>
  <c r="Q109" i="3"/>
  <c r="I110" i="3"/>
  <c r="J110" i="3"/>
  <c r="K110" i="3"/>
  <c r="L110" i="3"/>
  <c r="M110" i="3"/>
  <c r="N110" i="3"/>
  <c r="O110" i="3"/>
  <c r="P110" i="3"/>
  <c r="Q110" i="3"/>
  <c r="I111" i="3"/>
  <c r="J111" i="3"/>
  <c r="K111" i="3"/>
  <c r="L111" i="3"/>
  <c r="M111" i="3"/>
  <c r="N111" i="3"/>
  <c r="O111" i="3"/>
  <c r="P111" i="3"/>
  <c r="Q111" i="3"/>
  <c r="I112" i="3"/>
  <c r="J112" i="3"/>
  <c r="K112" i="3"/>
  <c r="L112" i="3"/>
  <c r="M112" i="3"/>
  <c r="N112" i="3"/>
  <c r="O112" i="3"/>
  <c r="P112" i="3"/>
  <c r="Q112" i="3"/>
  <c r="M121" i="3"/>
  <c r="G137" i="3"/>
  <c r="L137" i="3"/>
  <c r="M137" i="3"/>
  <c r="N137" i="3"/>
  <c r="O137" i="3"/>
  <c r="P137" i="3"/>
  <c r="Q137" i="3"/>
  <c r="G138" i="3"/>
  <c r="L138" i="3"/>
  <c r="M138" i="3"/>
  <c r="N138" i="3"/>
  <c r="O138" i="3"/>
  <c r="P138" i="3"/>
  <c r="Q138" i="3"/>
  <c r="G139" i="3"/>
  <c r="L139" i="3"/>
  <c r="M139" i="3"/>
  <c r="N139" i="3"/>
  <c r="O139" i="3"/>
  <c r="P139" i="3"/>
  <c r="Q139" i="3"/>
  <c r="G140" i="3"/>
  <c r="L140" i="3"/>
  <c r="M140" i="3"/>
  <c r="N140" i="3"/>
  <c r="O140" i="3"/>
  <c r="P140" i="3"/>
  <c r="Q140" i="3"/>
  <c r="G141" i="3"/>
  <c r="L141" i="3"/>
  <c r="M141" i="3"/>
  <c r="N141" i="3"/>
  <c r="O141" i="3"/>
  <c r="P141" i="3"/>
  <c r="Q141" i="3"/>
  <c r="G142" i="3"/>
  <c r="L142" i="3"/>
  <c r="M142" i="3"/>
  <c r="N142" i="3"/>
  <c r="O142" i="3"/>
  <c r="P142" i="3"/>
  <c r="Q142" i="3"/>
  <c r="G143" i="3"/>
  <c r="L143" i="3"/>
  <c r="M143" i="3"/>
  <c r="N143" i="3"/>
  <c r="O143" i="3"/>
  <c r="P143" i="3"/>
  <c r="Q143" i="3"/>
  <c r="G145" i="3"/>
  <c r="L145" i="3"/>
  <c r="M145" i="3"/>
  <c r="N145" i="3"/>
  <c r="O145" i="3"/>
  <c r="P145" i="3"/>
  <c r="Q145" i="3"/>
  <c r="G146" i="3"/>
  <c r="L146" i="3"/>
  <c r="M146" i="3"/>
  <c r="N146" i="3"/>
  <c r="O146" i="3"/>
  <c r="P146" i="3"/>
  <c r="Q146" i="3"/>
  <c r="L155" i="3"/>
  <c r="M155" i="3"/>
  <c r="N155" i="3"/>
  <c r="O155" i="3"/>
  <c r="P155" i="3"/>
  <c r="Q155" i="3"/>
  <c r="R155" i="3"/>
  <c r="S155" i="3"/>
  <c r="L156" i="3"/>
  <c r="M156" i="3"/>
  <c r="N156" i="3"/>
  <c r="O156" i="3"/>
  <c r="P156" i="3"/>
  <c r="Q156" i="3"/>
  <c r="R156" i="3"/>
  <c r="S156" i="3"/>
  <c r="M157" i="3"/>
  <c r="N157" i="3"/>
  <c r="O157" i="3"/>
  <c r="P157" i="3"/>
  <c r="Q157" i="3"/>
  <c r="R157" i="3"/>
  <c r="S157" i="3"/>
  <c r="L158" i="3"/>
  <c r="M158" i="3"/>
  <c r="N158" i="3"/>
  <c r="O158" i="3"/>
  <c r="P158" i="3"/>
  <c r="Q158" i="3"/>
  <c r="R158" i="3"/>
  <c r="S158" i="3"/>
  <c r="L162" i="3"/>
  <c r="M162" i="3"/>
  <c r="N162" i="3"/>
  <c r="O162" i="3"/>
  <c r="P162" i="3"/>
  <c r="Q162" i="3"/>
  <c r="R162" i="3"/>
  <c r="S162" i="3"/>
  <c r="L163" i="3"/>
  <c r="M163" i="3"/>
  <c r="N163" i="3"/>
  <c r="O163" i="3"/>
  <c r="P163" i="3"/>
  <c r="Q163" i="3"/>
  <c r="R163" i="3"/>
  <c r="S163" i="3"/>
  <c r="L164" i="3"/>
  <c r="M164" i="3"/>
  <c r="N164" i="3"/>
  <c r="O164" i="3"/>
  <c r="P164" i="3"/>
  <c r="Q164" i="3"/>
  <c r="R164" i="3"/>
  <c r="S164" i="3"/>
  <c r="A165" i="3"/>
  <c r="L167" i="3"/>
  <c r="M167" i="3"/>
  <c r="N167" i="3"/>
  <c r="O167" i="3"/>
  <c r="P167" i="3"/>
  <c r="Q167" i="3"/>
  <c r="R167" i="3"/>
  <c r="S167" i="3"/>
  <c r="L168" i="3"/>
  <c r="M168" i="3"/>
  <c r="N168" i="3"/>
  <c r="O168" i="3"/>
  <c r="P168" i="3"/>
  <c r="Q168" i="3"/>
  <c r="R168" i="3"/>
  <c r="S168" i="3"/>
  <c r="L171" i="3"/>
  <c r="M171" i="3"/>
  <c r="N171" i="3"/>
  <c r="O171" i="3"/>
  <c r="P171" i="3"/>
  <c r="Q171" i="3"/>
  <c r="R171" i="3"/>
  <c r="S171" i="3"/>
  <c r="L172" i="3"/>
  <c r="M172" i="3"/>
  <c r="N172" i="3"/>
  <c r="O172" i="3"/>
  <c r="P172" i="3"/>
  <c r="Q172" i="3"/>
  <c r="R172" i="3"/>
  <c r="S172" i="3"/>
  <c r="L173" i="3"/>
  <c r="M173" i="3"/>
  <c r="N173" i="3"/>
  <c r="O173" i="3"/>
  <c r="P173" i="3"/>
  <c r="Q173" i="3"/>
  <c r="R173" i="3"/>
  <c r="S173" i="3"/>
  <c r="L174" i="3"/>
  <c r="M174" i="3"/>
  <c r="N174" i="3"/>
  <c r="O174" i="3"/>
  <c r="P174" i="3"/>
  <c r="Q174" i="3"/>
  <c r="R174" i="3"/>
  <c r="S174" i="3"/>
  <c r="L176" i="3"/>
  <c r="M176" i="3"/>
  <c r="N176" i="3"/>
  <c r="O176" i="3"/>
  <c r="P176" i="3"/>
  <c r="Q176" i="3"/>
  <c r="R176" i="3"/>
  <c r="S176" i="3"/>
  <c r="L177" i="3"/>
  <c r="M177" i="3"/>
  <c r="N177" i="3"/>
  <c r="O177" i="3"/>
  <c r="P177" i="3"/>
  <c r="Q177" i="3"/>
  <c r="R177" i="3"/>
  <c r="S177" i="3"/>
  <c r="L178" i="3"/>
  <c r="M178" i="3"/>
  <c r="N178" i="3"/>
  <c r="O178" i="3"/>
  <c r="P178" i="3"/>
  <c r="Q178" i="3"/>
  <c r="R178" i="3"/>
  <c r="S178" i="3"/>
  <c r="L179" i="3"/>
  <c r="M179" i="3"/>
  <c r="N179" i="3"/>
  <c r="O179" i="3"/>
  <c r="P179" i="3"/>
  <c r="Q179" i="3"/>
  <c r="R179" i="3"/>
  <c r="X186" i="3"/>
  <c r="I187" i="3"/>
  <c r="J187" i="3"/>
  <c r="K187" i="3"/>
  <c r="L187" i="3"/>
  <c r="M187" i="3"/>
  <c r="N187" i="3"/>
  <c r="O187" i="3"/>
  <c r="P187" i="3"/>
  <c r="Q187" i="3"/>
  <c r="I188" i="3"/>
  <c r="J188" i="3"/>
  <c r="K188" i="3"/>
  <c r="L188" i="3"/>
  <c r="M188" i="3"/>
  <c r="N188" i="3"/>
  <c r="O188" i="3"/>
  <c r="P188" i="3"/>
  <c r="Q188" i="3"/>
  <c r="G190" i="3"/>
  <c r="I190" i="3"/>
  <c r="J190" i="3"/>
  <c r="K190" i="3"/>
  <c r="L190" i="3"/>
  <c r="M190" i="3"/>
  <c r="N190" i="3"/>
  <c r="O190" i="3"/>
  <c r="P190" i="3"/>
  <c r="Q190" i="3"/>
  <c r="I191" i="3"/>
  <c r="J191" i="3"/>
  <c r="K191" i="3"/>
  <c r="L191" i="3"/>
  <c r="M191" i="3"/>
  <c r="N191" i="3"/>
  <c r="O191" i="3"/>
  <c r="P191" i="3"/>
  <c r="Q191" i="3"/>
  <c r="I192" i="3"/>
  <c r="J192" i="3"/>
  <c r="K192" i="3"/>
  <c r="L192" i="3"/>
  <c r="M192" i="3"/>
  <c r="N192" i="3"/>
  <c r="O192" i="3"/>
  <c r="P192" i="3"/>
  <c r="Q192" i="3"/>
  <c r="I194" i="3"/>
  <c r="J194" i="3"/>
  <c r="K194" i="3"/>
  <c r="L194" i="3"/>
  <c r="M194" i="3"/>
  <c r="N194" i="3"/>
  <c r="O194" i="3"/>
  <c r="P194" i="3"/>
  <c r="Q194" i="3"/>
  <c r="I195" i="3"/>
  <c r="J195" i="3"/>
  <c r="K195" i="3"/>
  <c r="L195" i="3"/>
  <c r="M195" i="3"/>
  <c r="N195" i="3"/>
  <c r="O195" i="3"/>
  <c r="P195" i="3"/>
  <c r="Q195" i="3"/>
  <c r="I196" i="3"/>
  <c r="J196" i="3"/>
  <c r="K196" i="3"/>
  <c r="L196" i="3"/>
  <c r="M196" i="3"/>
  <c r="N196" i="3"/>
  <c r="O196" i="3"/>
  <c r="P196" i="3"/>
  <c r="Q196" i="3"/>
  <c r="I197" i="3"/>
  <c r="J197" i="3"/>
  <c r="K197" i="3"/>
  <c r="L197" i="3"/>
  <c r="M197" i="3"/>
  <c r="N197" i="3"/>
  <c r="O197" i="3"/>
  <c r="P197" i="3"/>
  <c r="Q197" i="3"/>
  <c r="I198" i="3"/>
  <c r="J198" i="3"/>
  <c r="K198" i="3"/>
  <c r="L198" i="3"/>
  <c r="M198" i="3"/>
  <c r="N198" i="3"/>
  <c r="O198" i="3"/>
  <c r="P198" i="3"/>
  <c r="Q198" i="3"/>
  <c r="I199" i="3"/>
  <c r="J199" i="3"/>
  <c r="K199" i="3"/>
  <c r="L199" i="3"/>
  <c r="M199" i="3"/>
  <c r="N199" i="3"/>
  <c r="O199" i="3"/>
  <c r="P199" i="3"/>
  <c r="Q199" i="3"/>
  <c r="I200" i="3"/>
  <c r="J200" i="3"/>
  <c r="K200" i="3"/>
  <c r="L200" i="3"/>
  <c r="M200" i="3"/>
  <c r="N200" i="3"/>
  <c r="O200" i="3"/>
  <c r="P200" i="3"/>
  <c r="Q200" i="3"/>
  <c r="X201" i="3"/>
  <c r="G203" i="3"/>
  <c r="I203" i="3"/>
  <c r="J203" i="3"/>
  <c r="K203" i="3"/>
  <c r="L203" i="3"/>
  <c r="M203" i="3"/>
  <c r="N203" i="3"/>
  <c r="O203" i="3"/>
  <c r="P203" i="3"/>
  <c r="Q203" i="3"/>
  <c r="I204" i="3"/>
  <c r="J204" i="3"/>
  <c r="K204" i="3"/>
  <c r="L204" i="3"/>
  <c r="M204" i="3"/>
  <c r="N204" i="3"/>
  <c r="O204" i="3"/>
  <c r="P204" i="3"/>
  <c r="Q204" i="3"/>
  <c r="I205" i="3"/>
  <c r="J205" i="3"/>
  <c r="K205" i="3"/>
  <c r="L205" i="3"/>
  <c r="M205" i="3"/>
  <c r="N205" i="3"/>
  <c r="O205" i="3"/>
  <c r="P205" i="3"/>
  <c r="Q205" i="3"/>
  <c r="I206" i="3"/>
  <c r="J206" i="3"/>
  <c r="K206" i="3"/>
  <c r="L206" i="3"/>
  <c r="M206" i="3"/>
  <c r="N206" i="3"/>
  <c r="O206" i="3"/>
  <c r="P206" i="3"/>
  <c r="Q206" i="3"/>
  <c r="I207" i="3"/>
  <c r="J207" i="3"/>
  <c r="K207" i="3"/>
  <c r="L207" i="3"/>
  <c r="M207" i="3"/>
  <c r="N207" i="3"/>
  <c r="O207" i="3"/>
  <c r="P207" i="3"/>
  <c r="Q207" i="3"/>
  <c r="I208" i="3"/>
  <c r="J208" i="3"/>
  <c r="K208" i="3"/>
  <c r="L208" i="3"/>
  <c r="M208" i="3"/>
  <c r="N208" i="3"/>
  <c r="O208" i="3"/>
  <c r="P208" i="3"/>
  <c r="Q208" i="3"/>
  <c r="I209" i="3"/>
  <c r="J209" i="3"/>
  <c r="K209" i="3"/>
  <c r="L209" i="3"/>
  <c r="M209" i="3"/>
  <c r="N209" i="3"/>
  <c r="O209" i="3"/>
  <c r="P209" i="3"/>
  <c r="Q209" i="3"/>
  <c r="I210" i="3"/>
  <c r="J210" i="3"/>
  <c r="K210" i="3"/>
  <c r="L210" i="3"/>
  <c r="M210" i="3"/>
  <c r="N210" i="3"/>
  <c r="O210" i="3"/>
  <c r="P210" i="3"/>
  <c r="Q210" i="3"/>
  <c r="I212" i="3"/>
  <c r="J212" i="3"/>
  <c r="K212" i="3"/>
  <c r="L212" i="3"/>
  <c r="M212" i="3"/>
  <c r="N212" i="3"/>
  <c r="O212" i="3"/>
  <c r="P212" i="3"/>
  <c r="Q212" i="3"/>
  <c r="I213" i="3"/>
  <c r="J213" i="3"/>
  <c r="K213" i="3"/>
  <c r="L213" i="3"/>
  <c r="M213" i="3"/>
  <c r="N213" i="3"/>
  <c r="O213" i="3"/>
  <c r="P213" i="3"/>
  <c r="Q213" i="3"/>
  <c r="I214" i="3"/>
  <c r="J214" i="3"/>
  <c r="K214" i="3"/>
  <c r="L214" i="3"/>
  <c r="M214" i="3"/>
  <c r="N214" i="3"/>
  <c r="O214" i="3"/>
  <c r="P214" i="3"/>
  <c r="Q214" i="3"/>
  <c r="L232" i="3"/>
  <c r="M232" i="3"/>
  <c r="N232" i="3"/>
  <c r="O232" i="3"/>
  <c r="P232" i="3"/>
  <c r="R232" i="3"/>
  <c r="K233" i="3"/>
  <c r="L233" i="3"/>
  <c r="M233" i="3"/>
  <c r="N233" i="3"/>
  <c r="O233" i="3"/>
  <c r="P233" i="3"/>
  <c r="R233" i="3"/>
  <c r="K235" i="3"/>
  <c r="L235" i="3"/>
  <c r="M235" i="3"/>
  <c r="N235" i="3"/>
  <c r="O235" i="3"/>
  <c r="P235" i="3"/>
  <c r="R235" i="3"/>
  <c r="K237" i="3"/>
  <c r="L237" i="3"/>
  <c r="M237" i="3"/>
  <c r="N237" i="3"/>
  <c r="O237" i="3"/>
  <c r="P237" i="3"/>
  <c r="R237" i="3"/>
  <c r="K238" i="3"/>
  <c r="L238" i="3"/>
  <c r="M238" i="3"/>
  <c r="N238" i="3"/>
  <c r="O238" i="3"/>
  <c r="P238" i="3"/>
  <c r="R238" i="3"/>
  <c r="K239" i="3"/>
  <c r="L239" i="3"/>
  <c r="M239" i="3"/>
  <c r="N239" i="3"/>
  <c r="O239" i="3"/>
  <c r="P239" i="3"/>
  <c r="R239" i="3"/>
  <c r="K240" i="3"/>
  <c r="L240" i="3"/>
  <c r="M240" i="3"/>
  <c r="N240" i="3"/>
  <c r="O240" i="3"/>
  <c r="P240" i="3"/>
  <c r="R240" i="3"/>
  <c r="K241" i="3"/>
  <c r="L241" i="3"/>
  <c r="M241" i="3"/>
  <c r="N241" i="3"/>
  <c r="O241" i="3"/>
  <c r="P241" i="3"/>
  <c r="R241" i="3"/>
  <c r="K242" i="3"/>
  <c r="L242" i="3"/>
  <c r="M242" i="3"/>
  <c r="N242" i="3"/>
  <c r="O242" i="3"/>
  <c r="P242" i="3"/>
  <c r="R242" i="3"/>
  <c r="K243" i="3"/>
  <c r="L243" i="3"/>
  <c r="M243" i="3"/>
  <c r="N243" i="3"/>
  <c r="O243" i="3"/>
  <c r="P243" i="3"/>
  <c r="R243" i="3"/>
  <c r="K244" i="3"/>
  <c r="L244" i="3"/>
  <c r="M244" i="3"/>
  <c r="N244" i="3"/>
  <c r="O244" i="3"/>
  <c r="P244" i="3"/>
  <c r="R244" i="3"/>
  <c r="K245" i="3"/>
  <c r="L245" i="3"/>
  <c r="M245" i="3"/>
  <c r="N245" i="3"/>
  <c r="O245" i="3"/>
  <c r="P245" i="3"/>
  <c r="R245" i="3"/>
  <c r="L246" i="3"/>
  <c r="M246" i="3"/>
  <c r="N246" i="3"/>
  <c r="O246" i="3"/>
  <c r="P246" i="3"/>
  <c r="R246" i="3"/>
  <c r="K247" i="3"/>
  <c r="L247" i="3"/>
  <c r="M247" i="3"/>
  <c r="N247" i="3"/>
  <c r="O247" i="3"/>
  <c r="P247" i="3"/>
  <c r="R247" i="3"/>
  <c r="K248" i="3"/>
  <c r="L248" i="3"/>
  <c r="M248" i="3"/>
  <c r="N248" i="3"/>
  <c r="O248" i="3"/>
  <c r="P248" i="3"/>
  <c r="R248" i="3"/>
  <c r="L251" i="3"/>
  <c r="M251" i="3"/>
  <c r="N251" i="3"/>
  <c r="O251" i="3"/>
  <c r="P251" i="3"/>
  <c r="R251" i="3"/>
  <c r="L252" i="3"/>
  <c r="M252" i="3"/>
  <c r="N252" i="3"/>
  <c r="O252" i="3"/>
  <c r="P252" i="3"/>
  <c r="R252" i="3"/>
  <c r="K253" i="3"/>
  <c r="L253" i="3"/>
  <c r="M253" i="3"/>
  <c r="N253" i="3"/>
  <c r="O253" i="3"/>
  <c r="P253" i="3"/>
  <c r="R253" i="3"/>
  <c r="K254" i="3"/>
  <c r="L254" i="3"/>
  <c r="M254" i="3"/>
  <c r="N254" i="3"/>
  <c r="O254" i="3"/>
  <c r="P254" i="3"/>
  <c r="R254" i="3"/>
  <c r="K255" i="3"/>
  <c r="L255" i="3"/>
  <c r="M255" i="3"/>
  <c r="N255" i="3"/>
  <c r="O255" i="3"/>
  <c r="P255" i="3"/>
  <c r="R255" i="3"/>
  <c r="K256" i="3"/>
  <c r="L256" i="3"/>
  <c r="M256" i="3"/>
  <c r="N256" i="3"/>
  <c r="O256" i="3"/>
  <c r="P256" i="3"/>
  <c r="R256" i="3"/>
  <c r="L257" i="3"/>
  <c r="M257" i="3"/>
  <c r="N257" i="3"/>
  <c r="O257" i="3"/>
  <c r="P257" i="3"/>
  <c r="R257" i="3"/>
  <c r="K258" i="3"/>
  <c r="L258" i="3"/>
  <c r="M258" i="3"/>
  <c r="N258" i="3"/>
  <c r="O258" i="3"/>
  <c r="P258" i="3"/>
  <c r="R258" i="3"/>
  <c r="K259" i="3"/>
  <c r="L259" i="3"/>
  <c r="M259" i="3"/>
  <c r="N259" i="3"/>
  <c r="O259" i="3"/>
  <c r="P259" i="3"/>
  <c r="R259" i="3"/>
  <c r="K262" i="3"/>
  <c r="L262" i="3"/>
  <c r="M262" i="3"/>
  <c r="N262" i="3"/>
  <c r="O262" i="3"/>
  <c r="P262" i="3"/>
  <c r="R262" i="3"/>
  <c r="K263" i="3"/>
  <c r="L263" i="3"/>
  <c r="M263" i="3"/>
  <c r="N263" i="3"/>
  <c r="O263" i="3"/>
  <c r="P263" i="3"/>
  <c r="R263" i="3"/>
  <c r="K265" i="3"/>
  <c r="L265" i="3"/>
  <c r="M265" i="3"/>
  <c r="N265" i="3"/>
  <c r="O265" i="3"/>
  <c r="P265" i="3"/>
  <c r="R265" i="3"/>
  <c r="K266" i="3"/>
  <c r="L266" i="3"/>
  <c r="M266" i="3"/>
  <c r="N266" i="3"/>
  <c r="O266" i="3"/>
  <c r="P266" i="3"/>
  <c r="R266" i="3"/>
  <c r="K267" i="3"/>
  <c r="L267" i="3"/>
  <c r="M267" i="3"/>
  <c r="N267" i="3"/>
  <c r="O267" i="3"/>
  <c r="P267" i="3"/>
  <c r="R267" i="3"/>
  <c r="J268" i="3"/>
  <c r="K268" i="3"/>
  <c r="L268" i="3"/>
  <c r="M268" i="3"/>
  <c r="N268" i="3"/>
  <c r="O268" i="3"/>
  <c r="P268" i="3"/>
  <c r="R268" i="3"/>
  <c r="K271" i="3"/>
  <c r="L271" i="3"/>
  <c r="M271" i="3"/>
  <c r="N271" i="3"/>
  <c r="O271" i="3"/>
  <c r="P271" i="3"/>
  <c r="R271" i="3"/>
  <c r="K272" i="3"/>
  <c r="L272" i="3"/>
  <c r="M272" i="3"/>
  <c r="N272" i="3"/>
  <c r="O272" i="3"/>
  <c r="P272" i="3"/>
  <c r="R272" i="3"/>
  <c r="K274" i="3"/>
  <c r="L274" i="3"/>
  <c r="M274" i="3"/>
  <c r="N274" i="3"/>
  <c r="O274" i="3"/>
  <c r="P274" i="3"/>
  <c r="R274" i="3"/>
  <c r="K275" i="3"/>
  <c r="L275" i="3"/>
  <c r="M275" i="3"/>
  <c r="N275" i="3"/>
  <c r="O275" i="3"/>
  <c r="P275" i="3"/>
  <c r="R275" i="3"/>
  <c r="K276" i="3"/>
  <c r="L276" i="3"/>
  <c r="M276" i="3"/>
  <c r="N276" i="3"/>
  <c r="O276" i="3"/>
  <c r="P276" i="3"/>
  <c r="R276" i="3"/>
  <c r="J277" i="3"/>
  <c r="K277" i="3"/>
  <c r="L277" i="3"/>
  <c r="M277" i="3"/>
  <c r="N277" i="3"/>
  <c r="O277" i="3"/>
  <c r="P277" i="3"/>
  <c r="R277" i="3"/>
  <c r="K285" i="3"/>
  <c r="L285" i="3"/>
  <c r="M285" i="3"/>
  <c r="N285" i="3"/>
  <c r="O285" i="3"/>
  <c r="P285" i="3"/>
  <c r="K286" i="3"/>
  <c r="L286" i="3"/>
  <c r="M286" i="3"/>
  <c r="N286" i="3"/>
  <c r="O286" i="3"/>
  <c r="P286" i="3"/>
  <c r="K288" i="3"/>
  <c r="L288" i="3"/>
  <c r="M288" i="3"/>
  <c r="N288" i="3"/>
  <c r="O288" i="3"/>
  <c r="P288" i="3"/>
  <c r="K289" i="3"/>
  <c r="L289" i="3"/>
  <c r="M289" i="3"/>
  <c r="N289" i="3"/>
  <c r="O289" i="3"/>
  <c r="P289" i="3"/>
  <c r="K290" i="3"/>
  <c r="L290" i="3"/>
  <c r="M290" i="3"/>
  <c r="N290" i="3"/>
  <c r="O290" i="3"/>
  <c r="P290" i="3"/>
  <c r="L294" i="3"/>
  <c r="M294" i="3"/>
  <c r="N294" i="3"/>
  <c r="O294" i="3"/>
  <c r="P294" i="3"/>
  <c r="K295" i="3"/>
  <c r="L295" i="3"/>
  <c r="M295" i="3"/>
  <c r="N295" i="3"/>
  <c r="O295" i="3"/>
  <c r="P295" i="3"/>
  <c r="K296" i="3"/>
  <c r="L296" i="3"/>
  <c r="M296" i="3"/>
  <c r="N296" i="3"/>
  <c r="O296" i="3"/>
  <c r="P296" i="3"/>
  <c r="K297" i="3"/>
  <c r="L297" i="3"/>
  <c r="M297" i="3"/>
  <c r="N297" i="3"/>
  <c r="O297" i="3"/>
  <c r="P297" i="3"/>
  <c r="M302" i="3"/>
  <c r="N302" i="3"/>
  <c r="O302" i="3"/>
  <c r="P302" i="3"/>
  <c r="K304" i="3"/>
  <c r="L304" i="3"/>
  <c r="M304" i="3"/>
  <c r="N304" i="3"/>
  <c r="O304" i="3"/>
  <c r="P304" i="3"/>
  <c r="R304" i="3"/>
  <c r="K305" i="3"/>
  <c r="L305" i="3"/>
  <c r="M305" i="3"/>
  <c r="N305" i="3"/>
  <c r="O305" i="3"/>
  <c r="P305" i="3"/>
  <c r="R305" i="3"/>
  <c r="K306" i="3"/>
  <c r="L306" i="3"/>
  <c r="M306" i="3"/>
  <c r="N306" i="3"/>
  <c r="O306" i="3"/>
  <c r="P306" i="3"/>
  <c r="R306" i="3"/>
  <c r="J307" i="3"/>
  <c r="K307" i="3"/>
  <c r="L307" i="3"/>
  <c r="M307" i="3"/>
  <c r="N307" i="3"/>
  <c r="O307" i="3"/>
  <c r="P307" i="3"/>
  <c r="R307" i="3"/>
  <c r="Q49" i="2"/>
  <c r="K50" i="2"/>
  <c r="L50" i="2"/>
  <c r="M50" i="2"/>
  <c r="N50" i="2"/>
  <c r="O50" i="2"/>
  <c r="P50" i="2"/>
  <c r="Q50" i="2"/>
  <c r="K51" i="2"/>
  <c r="L51" i="2"/>
  <c r="M51" i="2"/>
  <c r="N51" i="2"/>
  <c r="O51" i="2"/>
  <c r="P51" i="2"/>
  <c r="Q51" i="2"/>
  <c r="K52" i="2"/>
  <c r="L52" i="2"/>
  <c r="M52" i="2"/>
  <c r="N52" i="2"/>
  <c r="O52" i="2"/>
  <c r="P52" i="2"/>
  <c r="Q52" i="2"/>
  <c r="K53" i="2"/>
  <c r="L53" i="2"/>
  <c r="M53" i="2"/>
  <c r="N53" i="2"/>
  <c r="O53" i="2"/>
  <c r="P53" i="2"/>
  <c r="Q53" i="2"/>
  <c r="K54" i="2"/>
  <c r="L54" i="2"/>
  <c r="M54" i="2"/>
  <c r="N54" i="2"/>
  <c r="O54" i="2"/>
  <c r="P54" i="2"/>
  <c r="Q54" i="2"/>
  <c r="K55" i="2"/>
  <c r="L55" i="2"/>
  <c r="M55" i="2"/>
  <c r="N55" i="2"/>
  <c r="O55" i="2"/>
  <c r="P55" i="2"/>
  <c r="Q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tc={33259EE8-ACF5-41FB-84E7-BDB77E548ECB}</author>
    <author>tc={243FC927-FBC0-414B-9F4F-1EBD4F2A1738}</author>
    <author>tc={8D9AEC2A-4B78-478D-8BDF-4C6591193D03}</author>
    <author>tc={C5C1B758-06D2-4ED1-8340-9F82C45E786C}</author>
    <author>tc={CB36F24D-CDD8-4719-8F66-9DF2B8484C7D}</author>
    <author>tc={BF88E914-A65E-4BCA-B694-6E6D12251021}</author>
    <author>tc={7CBC8E28-7FF3-40C4-9BB9-F6A795531548}</author>
  </authors>
  <commentList>
    <comment ref="L43" authorId="0" shapeId="0" xr:uid="{33259EE8-ACF5-41FB-84E7-BDB77E548ECB}">
      <text>
        <t>[Threaded comment]
Your version of Excel allows you to read this threaded comment; however, any edits to it will get removed if the file is opened in a newer version of Excel. Learn more: https://go.microsoft.com/fwlink/?linkid=870924
Comment:
    Cash interest expense = cash interest paid when 100%</t>
      </text>
    </comment>
    <comment ref="M43" authorId="1" shapeId="0" xr:uid="{243FC927-FBC0-414B-9F4F-1EBD4F2A17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% of principal paid each year </t>
      </text>
    </comment>
    <comment ref="J45" authorId="2" shapeId="0" xr:uid="{8D9AEC2A-4B78-478D-8BDF-4C6591193D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Commitment fee</t>
      </text>
    </comment>
    <comment ref="N46" authorId="3" shapeId="0" xr:uid="{C5C1B758-06D2-4ED1-8340-9F82C45E786C}">
      <text>
        <t>[Threaded comment]
Your version of Excel allows you to read this threaded comment; however, any edits to it will get removed if the file is opened in a newer version of Excel. Learn more: https://go.microsoft.com/fwlink/?linkid=870924
Comment:
    %age of cashflow available</t>
      </text>
    </comment>
    <comment ref="H64" authorId="4" shapeId="0" xr:uid="{CB36F24D-CDD8-4719-8F66-9DF2B8484C7D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Yes - issue spillover cash (above min cash balance) to dividend</t>
      </text>
    </comment>
    <comment ref="I92" authorId="5" shapeId="0" xr:uid="{BF88E914-A65E-4BCA-B694-6E6D12251021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Multiple based on Financing EBITDA  (/= Structuring EBITDA)</t>
      </text>
    </comment>
    <comment ref="G145" authorId="6" shapeId="0" xr:uid="{7CBC8E28-7FF3-40C4-9BB9-F6A795531548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Financing EBITDA*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<sst xmlns="http://schemas.openxmlformats.org/spreadsheetml/2006/main" count="423" uniqueCount="318">
  <si>
    <t>Year</t>
  </si>
  <si>
    <t>Year end date</t>
  </si>
  <si>
    <t>Type</t>
  </si>
  <si>
    <t>Actual</t>
  </si>
  <si>
    <t>Forecast</t>
  </si>
  <si>
    <t>Financing</t>
  </si>
  <si>
    <t>Cash</t>
  </si>
  <si>
    <t>Quantum</t>
  </si>
  <si>
    <t>Total</t>
  </si>
  <si>
    <t>Spread</t>
  </si>
  <si>
    <t>Total Net Debt</t>
  </si>
  <si>
    <t>TEV</t>
  </si>
  <si>
    <t>Transaction fees</t>
  </si>
  <si>
    <t>Total Sources</t>
  </si>
  <si>
    <t>EBITDA</t>
  </si>
  <si>
    <t>EBITDA - Maintenance capex</t>
  </si>
  <si>
    <t>EBITDAR</t>
  </si>
  <si>
    <t>CAGR</t>
  </si>
  <si>
    <t>Lease costs</t>
  </si>
  <si>
    <t>EBIT</t>
  </si>
  <si>
    <t>Unlevered FCF</t>
  </si>
  <si>
    <t>FCF</t>
  </si>
  <si>
    <t>Ords</t>
  </si>
  <si>
    <t>Pref</t>
  </si>
  <si>
    <t>Equity structure (ords vs. prefs)</t>
  </si>
  <si>
    <t>Sponsor equity</t>
  </si>
  <si>
    <t>Management sweet</t>
  </si>
  <si>
    <t>Sponsor</t>
  </si>
  <si>
    <t>IRR</t>
  </si>
  <si>
    <t>MOIC</t>
  </si>
  <si>
    <t>Change in NWC</t>
  </si>
  <si>
    <t>Levered FCF</t>
  </si>
  <si>
    <t>Gross Debt</t>
  </si>
  <si>
    <t>LTM EBITDA</t>
  </si>
  <si>
    <t>Maintenance capex</t>
  </si>
  <si>
    <t xml:space="preserve"> </t>
  </si>
  <si>
    <t>Closing cash</t>
  </si>
  <si>
    <t>Tax</t>
  </si>
  <si>
    <t xml:space="preserve">Base </t>
  </si>
  <si>
    <t xml:space="preserve">Total </t>
  </si>
  <si>
    <t>Depreciation</t>
  </si>
  <si>
    <t>Basics</t>
  </si>
  <si>
    <t>Project Name</t>
  </si>
  <si>
    <t>Currency</t>
  </si>
  <si>
    <t>Acquisition date</t>
  </si>
  <si>
    <t>Stub period</t>
  </si>
  <si>
    <t>Financing transaction fees</t>
  </si>
  <si>
    <t>(Effective) Tax rate</t>
  </si>
  <si>
    <t>Acquisition assumptions</t>
  </si>
  <si>
    <t>Total debt / EBITDA</t>
  </si>
  <si>
    <t>GBP</t>
  </si>
  <si>
    <t>£m</t>
  </si>
  <si>
    <t xml:space="preserve">Holding period </t>
  </si>
  <si>
    <t>yrs</t>
  </si>
  <si>
    <t>date</t>
  </si>
  <si>
    <t>%age</t>
  </si>
  <si>
    <t>TL A</t>
  </si>
  <si>
    <t>Sweet equity</t>
  </si>
  <si>
    <t>Pref share interest</t>
  </si>
  <si>
    <t>Exit multiple</t>
  </si>
  <si>
    <t>Exit date</t>
  </si>
  <si>
    <t>M&amp;A acquisition transaction fees</t>
  </si>
  <si>
    <t>Financing EBITDA</t>
  </si>
  <si>
    <t>Minimum equity</t>
  </si>
  <si>
    <t>Acquisition</t>
  </si>
  <si>
    <t>Entry calculation</t>
  </si>
  <si>
    <t>Transaction fees (M&amp;A and financing fees)</t>
  </si>
  <si>
    <t>Fully loaded TEV</t>
  </si>
  <si>
    <t>Fully loaded entry multiple</t>
  </si>
  <si>
    <t>Sources</t>
  </si>
  <si>
    <t>3-month SONIA Compounded Forward Curve</t>
  </si>
  <si>
    <t>Get the latest curve at:</t>
  </si>
  <si>
    <t>As of:</t>
  </si>
  <si>
    <t>https://chathamdirect.com/rates/market-rates/europe/sonia/forward-curves</t>
  </si>
  <si>
    <t>Chatham Financial - Proprietary and Confidential - All Rights Reserved</t>
  </si>
  <si>
    <t>Date</t>
  </si>
  <si>
    <t>3 Month Compounded</t>
  </si>
  <si>
    <t>EBITDA x</t>
  </si>
  <si>
    <t>Fixed</t>
  </si>
  <si>
    <t>All in rate</t>
  </si>
  <si>
    <t>TL A (rate)</t>
  </si>
  <si>
    <t>TL B (rate)</t>
  </si>
  <si>
    <t>Total debt</t>
  </si>
  <si>
    <t>Annual fee amortization</t>
  </si>
  <si>
    <t xml:space="preserve">TL B </t>
  </si>
  <si>
    <t>New sponsor equity</t>
  </si>
  <si>
    <t>Mangement equity</t>
  </si>
  <si>
    <t xml:space="preserve">Total equity </t>
  </si>
  <si>
    <t>RCF</t>
  </si>
  <si>
    <t>Financing &amp; cap table assumptions</t>
  </si>
  <si>
    <t>Debt quantum</t>
  </si>
  <si>
    <t>Management strip</t>
  </si>
  <si>
    <t>Fixed?</t>
  </si>
  <si>
    <t>Net purchase price</t>
  </si>
  <si>
    <t>Uses</t>
  </si>
  <si>
    <t>Existing net debt</t>
  </si>
  <si>
    <t>Total uses</t>
  </si>
  <si>
    <t>Capitalisation &amp; MIP</t>
  </si>
  <si>
    <t>Setup multiples</t>
  </si>
  <si>
    <t xml:space="preserve">Fully loaded TEV / </t>
  </si>
  <si>
    <t>Operating financials</t>
  </si>
  <si>
    <t>Revenue</t>
  </si>
  <si>
    <t>% growth</t>
  </si>
  <si>
    <t>% margin</t>
  </si>
  <si>
    <t>Capex (maintenance &amp; growth)</t>
  </si>
  <si>
    <t>EBITDA - Capex (MC &amp; growth)</t>
  </si>
  <si>
    <t>Net debt</t>
  </si>
  <si>
    <t>FCF/Equity at setup</t>
  </si>
  <si>
    <t>Cummulative FCF/Equity at setup</t>
  </si>
  <si>
    <t>Net Debt / EBITDA</t>
  </si>
  <si>
    <t>Cashflows</t>
  </si>
  <si>
    <t>Cash taxes</t>
  </si>
  <si>
    <t>Lease payments</t>
  </si>
  <si>
    <t>Total cash flow from Operations</t>
  </si>
  <si>
    <t>Growth capex</t>
  </si>
  <si>
    <t>Other operating items (exceptionals, cash to achieve cost savings, etc.)</t>
  </si>
  <si>
    <t>Cash flow from Operations</t>
  </si>
  <si>
    <t>Cash flow from Financing</t>
  </si>
  <si>
    <t>Mandatory paydown</t>
  </si>
  <si>
    <t>FCF after mandatory paydown</t>
  </si>
  <si>
    <t>Optional paydown</t>
  </si>
  <si>
    <t>Change in cash</t>
  </si>
  <si>
    <t xml:space="preserve">Cash </t>
  </si>
  <si>
    <t>Year end</t>
  </si>
  <si>
    <t>LTM exit mulitple</t>
  </si>
  <si>
    <t>Equity value</t>
  </si>
  <si>
    <t>Accrued pref shares</t>
  </si>
  <si>
    <t>Mgmt pref</t>
  </si>
  <si>
    <t>Sponsor pref</t>
  </si>
  <si>
    <t>Oridnary equity</t>
  </si>
  <si>
    <t>Sponsor ords</t>
  </si>
  <si>
    <t>Mgmt ords</t>
  </si>
  <si>
    <t>Total proceeds</t>
  </si>
  <si>
    <t>Mgmt</t>
  </si>
  <si>
    <t>Exit equity</t>
  </si>
  <si>
    <t>LBO returns</t>
  </si>
  <si>
    <t>EXIT stub</t>
  </si>
  <si>
    <t>EXIT LTM</t>
  </si>
  <si>
    <t>Sensitivity range</t>
  </si>
  <si>
    <t>Total returns - Sponsor</t>
  </si>
  <si>
    <t xml:space="preserve">Acquisition multiple </t>
  </si>
  <si>
    <t>Acquisition EBITDA</t>
  </si>
  <si>
    <t>Investment</t>
  </si>
  <si>
    <t>M&amp;A Revenue</t>
  </si>
  <si>
    <t xml:space="preserve">% growth </t>
  </si>
  <si>
    <t>M&amp;A EBITDA</t>
  </si>
  <si>
    <t>Core margin</t>
  </si>
  <si>
    <t>Core - % of revenue</t>
  </si>
  <si>
    <t>Core EBIT</t>
  </si>
  <si>
    <t>Growth EBIT</t>
  </si>
  <si>
    <t>M&amp;A EBIT</t>
  </si>
  <si>
    <t>EBIT margin</t>
  </si>
  <si>
    <t>CAPEX</t>
  </si>
  <si>
    <t>DEPRECIATION</t>
  </si>
  <si>
    <t>REVENUE</t>
  </si>
  <si>
    <t>Core change in NWC</t>
  </si>
  <si>
    <t>Incremental NWC from M&amp;A</t>
  </si>
  <si>
    <t xml:space="preserve">Core lease </t>
  </si>
  <si>
    <t>M&amp;A lease payments</t>
  </si>
  <si>
    <t>Exceptionals / restructuring / costs to achieve cost savings</t>
  </si>
  <si>
    <t>Entry multiples</t>
  </si>
  <si>
    <t>Fully loaded TEV /</t>
  </si>
  <si>
    <t>Base</t>
  </si>
  <si>
    <t>Fee</t>
  </si>
  <si>
    <t>GBP SONIA 3M</t>
  </si>
  <si>
    <t>Base rate</t>
  </si>
  <si>
    <t>Floor</t>
  </si>
  <si>
    <t>Debt floor</t>
  </si>
  <si>
    <t>Rates</t>
  </si>
  <si>
    <t>Base @ entry</t>
  </si>
  <si>
    <t>Additions</t>
  </si>
  <si>
    <t>Opening balance</t>
  </si>
  <si>
    <t>End of period</t>
  </si>
  <si>
    <t>Interest charge</t>
  </si>
  <si>
    <t xml:space="preserve">Interest paid </t>
  </si>
  <si>
    <t>TL B</t>
  </si>
  <si>
    <t>%</t>
  </si>
  <si>
    <t>Quantum (£m)</t>
  </si>
  <si>
    <t>Quantum (%)</t>
  </si>
  <si>
    <t>Minimum cash balance</t>
  </si>
  <si>
    <t xml:space="preserve">Scenario </t>
  </si>
  <si>
    <t>Management</t>
  </si>
  <si>
    <t>Downside</t>
  </si>
  <si>
    <t>Dividend</t>
  </si>
  <si>
    <t>Interest income</t>
  </si>
  <si>
    <t>Commitment fee</t>
  </si>
  <si>
    <t>Cash interest</t>
  </si>
  <si>
    <t>Output summary</t>
  </si>
  <si>
    <t>Yrly principal</t>
  </si>
  <si>
    <t>Open cash</t>
  </si>
  <si>
    <t>RCF - drawdown</t>
  </si>
  <si>
    <t>TLA - additions</t>
  </si>
  <si>
    <t>TLB - additions</t>
  </si>
  <si>
    <t>Amortisation of cap. financing costs</t>
  </si>
  <si>
    <t>Deductibility %</t>
  </si>
  <si>
    <t>Restructuring costs</t>
  </si>
  <si>
    <t>Taxable income</t>
  </si>
  <si>
    <t>Net operating losses</t>
  </si>
  <si>
    <t>Beginning of period</t>
  </si>
  <si>
    <t>NOL created</t>
  </si>
  <si>
    <t>NOL utilised</t>
  </si>
  <si>
    <t xml:space="preserve">Tax </t>
  </si>
  <si>
    <t>Net interest expense</t>
  </si>
  <si>
    <t>Operating losses used</t>
  </si>
  <si>
    <t>Net interest (expense) / income</t>
  </si>
  <si>
    <t>LFY</t>
  </si>
  <si>
    <t>LTM</t>
  </si>
  <si>
    <t>3M SONIA @ entry</t>
  </si>
  <si>
    <t>Optional payment</t>
  </si>
  <si>
    <t>Pref shares</t>
  </si>
  <si>
    <t>Interest</t>
  </si>
  <si>
    <t>Equity</t>
  </si>
  <si>
    <t>Dividends</t>
  </si>
  <si>
    <t>Tax rate</t>
  </si>
  <si>
    <t>Issue dividends</t>
  </si>
  <si>
    <t>Cummulative FCF generated by Operations</t>
  </si>
  <si>
    <t>(Net Debt) / Cash</t>
  </si>
  <si>
    <t>Add: Incremental debt</t>
  </si>
  <si>
    <t>Less: Optional paydown</t>
  </si>
  <si>
    <t>Less: Dividend</t>
  </si>
  <si>
    <t>(Net debt) / Cash</t>
  </si>
  <si>
    <t xml:space="preserve">Fully loaded TEV at acquisition </t>
  </si>
  <si>
    <t>NTM</t>
  </si>
  <si>
    <t>Unlevered FCF / TEV</t>
  </si>
  <si>
    <t>Acquisition stub</t>
  </si>
  <si>
    <t>(Equity + Net Debt)/EBITDA</t>
  </si>
  <si>
    <t>Entry multiple</t>
  </si>
  <si>
    <t>IRR sensitised for Entry and Exit multiple</t>
  </si>
  <si>
    <t>LEASE PAYMENTS</t>
  </si>
  <si>
    <t>CHANGE IN NWC</t>
  </si>
  <si>
    <t>&lt;Track NOLs in pre-tax terms (taxable loss), cap cash tax at 0 unless modelling carryback. Use NOL to reduce future taxable income, then tax = -MAX(0, taxable_after_NOL)*rate.</t>
  </si>
  <si>
    <t>Drawdown</t>
  </si>
  <si>
    <t>RCF - optional</t>
  </si>
  <si>
    <t xml:space="preserve">Interest &amp; commitment paid </t>
  </si>
  <si>
    <t>TLA - mandatory</t>
  </si>
  <si>
    <t>TLB - mandatory</t>
  </si>
  <si>
    <t>Closing cash before drawdown</t>
  </si>
  <si>
    <t>Cash availble for optional payment &amp; dividend</t>
  </si>
  <si>
    <t>RCF available balance</t>
  </si>
  <si>
    <t>Balance before optional payment</t>
  </si>
  <si>
    <t>TLA - optional</t>
  </si>
  <si>
    <t>TLB - optional</t>
  </si>
  <si>
    <t>Cash availble for dividends</t>
  </si>
  <si>
    <t>Add: RCF drawdown</t>
  </si>
  <si>
    <t>First fiscal YE following acquisition</t>
  </si>
  <si>
    <t>RCF / Yes or No</t>
  </si>
  <si>
    <t>Exit stub</t>
  </si>
  <si>
    <t>Exit LTM</t>
  </si>
  <si>
    <t>Total funding requirements</t>
  </si>
  <si>
    <t>Financing structure</t>
  </si>
  <si>
    <t>(including fees)</t>
  </si>
  <si>
    <t>Founders / mgt</t>
  </si>
  <si>
    <t>Financial sponsor</t>
  </si>
  <si>
    <t>Equity consideration</t>
  </si>
  <si>
    <t>New Equity</t>
  </si>
  <si>
    <t>External debt</t>
  </si>
  <si>
    <t>Incremental NWC from Expansion</t>
  </si>
  <si>
    <t>Capex % of revenue</t>
  </si>
  <si>
    <t>Equity structure (£m)</t>
  </si>
  <si>
    <t>Equity Value at exit</t>
  </si>
  <si>
    <t>Exit Enterprise Value</t>
  </si>
  <si>
    <t>Entry Enterprise Value</t>
  </si>
  <si>
    <t>IRR :n/a</t>
  </si>
  <si>
    <t>MM: n/a</t>
  </si>
  <si>
    <t>Illustrative shareholder structure @ acquisition</t>
  </si>
  <si>
    <t>Transaction overview</t>
  </si>
  <si>
    <t>Scenario selection</t>
  </si>
  <si>
    <t>EBITDA multiple</t>
  </si>
  <si>
    <t>MOIC sensitised for Entry and Exit multiple</t>
  </si>
  <si>
    <t>Scenario</t>
  </si>
  <si>
    <t>Comment</t>
  </si>
  <si>
    <t>Outlook</t>
  </si>
  <si>
    <t>EBITDA margin</t>
  </si>
  <si>
    <t>EBITDA Growth</t>
  </si>
  <si>
    <t>Less: (Net Debt) / Cash</t>
  </si>
  <si>
    <t>Sensitivity table</t>
  </si>
  <si>
    <t>Structuring EBITDA</t>
  </si>
  <si>
    <t>switch</t>
  </si>
  <si>
    <t>Total revenue</t>
  </si>
  <si>
    <t>Staff efficiencies</t>
  </si>
  <si>
    <t>Family costs</t>
  </si>
  <si>
    <t>Capex</t>
  </si>
  <si>
    <t>Adj</t>
  </si>
  <si>
    <t>M&amp;A</t>
  </si>
  <si>
    <t>Expansion - % of revenue</t>
  </si>
  <si>
    <t>M&amp;A - % of revenue</t>
  </si>
  <si>
    <t>% of FTEV</t>
  </si>
  <si>
    <t>EBITDA per mgmt</t>
  </si>
  <si>
    <t xml:space="preserve">Less: </t>
  </si>
  <si>
    <t xml:space="preserve">Add: </t>
  </si>
  <si>
    <t xml:space="preserve">Structuring EBITDA </t>
  </si>
  <si>
    <t>Change in NWC Expansion</t>
  </si>
  <si>
    <t>Depreciation Core 1</t>
  </si>
  <si>
    <t>Depreciation Expansion 1</t>
  </si>
  <si>
    <t>Depreciation Core 2</t>
  </si>
  <si>
    <t>Depreciation Expansion 2</t>
  </si>
  <si>
    <t>EBITDA Core 1</t>
  </si>
  <si>
    <t>EBITDA Expansion 2</t>
  </si>
  <si>
    <t>EBITDA Core 2</t>
  </si>
  <si>
    <t>EBITDA Expansion 1</t>
  </si>
  <si>
    <t>Revenue Core 1</t>
  </si>
  <si>
    <t>Revenue Core 2</t>
  </si>
  <si>
    <t>Revenue Expansion 1</t>
  </si>
  <si>
    <t>Revenue Expansion 2</t>
  </si>
  <si>
    <t>M&amp;A EBITDA (out of plan)</t>
  </si>
  <si>
    <t>M&amp;A Depreciation</t>
  </si>
  <si>
    <t>Maintenance Capex Core 1</t>
  </si>
  <si>
    <t>Maintenance Capex Core 2</t>
  </si>
  <si>
    <t>M&amp;A Capex</t>
  </si>
  <si>
    <t>Growth Capex Expansion 1</t>
  </si>
  <si>
    <t>Growth Capex Expansion 2</t>
  </si>
  <si>
    <t>Change in NWC M&amp;A</t>
  </si>
  <si>
    <t>Change in NWC Core 1</t>
  </si>
  <si>
    <t>Change in NWC Core 2</t>
  </si>
  <si>
    <t>[x]</t>
  </si>
  <si>
    <t>Switch 1</t>
  </si>
  <si>
    <t>Switch 2</t>
  </si>
  <si>
    <t>Switch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</si>
</sst>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-* #,##0.0_-;\-* #,##0.0_-;_-* &quot;-&quot;??_-;_-@_-"/>
    <numFmt numFmtId="165" formatCode="* #,##0.0_);* \(#,##0.0\);* \-_);* @_)"/>
    <numFmt numFmtId="166" formatCode="* #,##0.0%_);* \(#,##0.0%\);* \-_);* @_)"/>
    <numFmt numFmtId="167" formatCode="* #,##0.0\x_);* \(#,##0.0\x\);* \-_);* @_)"/>
    <numFmt numFmtId="168" formatCode="* #,##0_);* \(#,##0\);* \-_);* @_)"/>
    <numFmt numFmtId="169" formatCode="_(#,##0.0%_);\(#,##0.0%\);_(&quot;–&quot;_)_%;_(@_)_%"/>
    <numFmt numFmtId="170" formatCode="0.0%"/>
    <numFmt numFmtId="171" formatCode="#,##0.0\x"/>
    <numFmt numFmtId="172" formatCode="_-* #,##0.0_-;\-* #,##0.0_-;_-* &quot;-&quot;?_-;_-@_-"/>
    <numFmt numFmtId="173" formatCode="_(* #,##0.0_);_(* \(#,##0.0\);_(* &quot;-&quot;??_);_(@_)"/>
    <numFmt numFmtId="174" formatCode="_(* #,##0.0\x_);_(* \(#,##0.0\x\);_(* &quot;-&quot;??_);_(@_)"/>
    <numFmt numFmtId="175" formatCode="mmm\ yy"/>
    <numFmt numFmtId="176" formatCode="&quot;Yes&quot;;;&quot;No&quot;"/>
    <numFmt numFmtId="177" formatCode="0.0"/>
    <numFmt numFmtId="178" formatCode="_(&quot;£&quot;* #,##0.00_);_(&quot;£&quot;* \(#,##0.00\);_(&quot;£&quot;* &quot;-&quot;??_);_(@_)"/>
    <numFmt numFmtId="179" formatCode="_-[$€-2]\ * #,##0.00_-;\-[$€-2]\ * #,##0.00_-;_-[$€-2]\ * &quot;-&quot;??_-;_-@_-"/>
    <numFmt numFmtId="180" formatCode="_(* #,##0.00_);_(* \(#,##0.00\);_(* &quot;-&quot;??_);_(@_)"/>
    <numFmt numFmtId="181" formatCode="#,##0.0_);\(#,##0.0\);\-\-_)"/>
    <numFmt numFmtId="182" formatCode="#,##0_);\(#,##0\);\-\-_)"/>
    <numFmt numFmtId="183" formatCode="0.0\x;\(0.0\x\);\-\-"/>
    <numFmt numFmtId="184" formatCode="#,##0.0,;\(#,##0.0,\);&quot;&quot;"/>
    <numFmt numFmtId="185" formatCode="#,##0.0%;\(#,##0.0%\);\-\-"/>
    <numFmt numFmtId="186" formatCode="#,##0%;\(#,##0%\);\-\-"/>
    <numFmt numFmtId="187" formatCode="&quot;£&quot;#,##0.0&quot;m&quot;;\(&quot;£&quot;#,##0.0&quot;m&quot;\);\-\-"/>
    <numFmt numFmtId="188" formatCode="_-* #,##0;* \(#,##0\);_-* &quot;-&quot;??_-;_-@_-"/>
  </numFmts>
  <fonts count="60">
    <font>
      <sz val="10"/>
      <color theme="1"/>
      <name val="Assistant"/>
      <family val="2"/>
    </font>
    <font>
      <b/>
      <sz val="10"/>
      <color theme="0"/>
      <name val="Assistant"/>
      <charset val="177"/>
    </font>
    <font>
      <sz val="10"/>
      <color theme="1"/>
      <name val="Assistant"/>
      <family val="2"/>
    </font>
    <font>
      <sz val="10"/>
      <color rgb="FF3F3F76"/>
      <name val="Assistant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11"/>
      <color theme="1"/>
      <name val="Aptos Narrow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Assistant"/>
      <charset val="177"/>
    </font>
    <font>
      <i/>
      <sz val="10"/>
      <color theme="1"/>
      <name val="Assistant"/>
      <charset val="177"/>
    </font>
    <font>
      <sz val="10"/>
      <name val="Assistant"/>
      <charset val="177"/>
    </font>
    <font>
      <sz val="10"/>
      <color theme="1"/>
      <name val="Assistant"/>
      <charset val="177"/>
    </font>
    <font>
      <sz val="10"/>
      <name val="Arial"/>
      <family val="2"/>
    </font>
    <font>
      <sz val="1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0.5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sz val="9"/>
      <name val="Verdana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onsolas"/>
      <family val="3"/>
    </font>
    <font>
      <i/>
      <sz val="10"/>
      <color theme="0" tint="-0.499984740745262"/>
      <name val="Assistant"/>
      <charset val="177"/>
    </font>
    <font>
      <sz val="10"/>
      <color theme="0" tint="-0.499984740745262"/>
      <name val="Assistant"/>
      <charset val="177"/>
    </font>
    <font>
      <b/>
      <i/>
      <sz val="10"/>
      <color theme="0" tint="-0.499984740745262"/>
      <name val="Assistant"/>
      <charset val="177"/>
    </font>
    <font>
      <b/>
      <i/>
      <sz val="10"/>
      <color theme="1"/>
      <name val="Assistant"/>
      <charset val="177"/>
    </font>
    <font>
      <b/>
      <sz val="10"/>
      <name val="Assistant"/>
      <charset val="177"/>
    </font>
    <font>
      <sz val="10"/>
      <color theme="0"/>
      <name val="Assistant"/>
      <charset val="177"/>
    </font>
    <font>
      <sz val="10"/>
      <color rgb="FF3F3F76"/>
      <name val="Assistant"/>
      <charset val="177"/>
    </font>
    <font>
      <i/>
      <sz val="10"/>
      <name val="Assistant"/>
      <charset val="177"/>
    </font>
    <font>
      <b/>
      <u/>
      <sz val="10"/>
      <color theme="1"/>
      <name val="Assistant"/>
      <charset val="177"/>
    </font>
    <font>
      <b/>
      <i/>
      <sz val="10"/>
      <color indexed="8"/>
      <name val="Assistant"/>
      <charset val="177"/>
    </font>
    <font>
      <sz val="10"/>
      <color indexed="9"/>
      <name val="Assistant"/>
      <charset val="177"/>
    </font>
    <font>
      <i/>
      <sz val="10"/>
      <color rgb="FF3F3F76"/>
      <name val="Assistant"/>
      <charset val="177"/>
    </font>
    <font>
      <b/>
      <i/>
      <sz val="10"/>
      <name val="Assistant"/>
      <charset val="177"/>
    </font>
    <font>
      <b/>
      <sz val="10"/>
      <color indexed="9"/>
      <name val="Assistant"/>
      <charset val="177"/>
    </font>
    <font>
      <i/>
      <sz val="10"/>
      <color theme="0"/>
      <name val="Assistant"/>
      <charset val="177"/>
    </font>
    <font>
      <b/>
      <i/>
      <sz val="10"/>
      <color theme="1" tint="0.249977111117893"/>
      <name val="Assistant"/>
      <charset val="177"/>
    </font>
    <font>
      <i/>
      <sz val="10"/>
      <color theme="1" tint="0.249977111117893"/>
      <name val="Assistant"/>
      <charset val="177"/>
    </font>
    <font>
      <sz val="10"/>
      <color rgb="FF002060"/>
      <name val="Assistant"/>
      <charset val="177"/>
    </font>
    <font>
      <b/>
      <i/>
      <sz val="10"/>
      <color theme="0"/>
      <name val="Assistant"/>
      <charset val="177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i/>
      <sz val="10"/>
      <color indexed="9"/>
      <name val="Assistant"/>
      <charset val="177"/>
    </font>
    <font>
      <sz val="8"/>
      <color indexed="9"/>
      <name val="Univers 45 Light"/>
    </font>
    <font>
      <sz val="8"/>
      <name val="Univers 45 Light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8"/>
      <name val="Arial"/>
      <family val="2"/>
    </font>
    <font>
      <b/>
      <sz val="8"/>
      <name val="Aptos Narrow"/>
      <family val="2"/>
      <scheme val="minor"/>
    </font>
    <font>
      <sz val="12"/>
      <color theme="1"/>
      <name val="Aptos Narrow"/>
      <family val="2"/>
      <charset val="1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0"/>
      <color theme="1"/>
      <name val="Arial"/>
      <family val="2"/>
    </font>
    <font>
      <sz val="10"/>
      <color theme="1" tint="0.499984740745262"/>
      <name val="Assistant"/>
      <charset val="177"/>
    </font>
    <font>
      <i/>
      <sz val="10"/>
      <color theme="1" tint="0.499984740745262"/>
      <name val="Assistant"/>
      <charset val="177"/>
    </font>
    <font>
      <b/>
      <i/>
      <sz val="10"/>
      <color theme="1" tint="0.499984740745262"/>
      <name val="Assistant"/>
      <charset val="177"/>
    </font>
    <font>
      <sz val="8"/>
      <name val="Assistant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3E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8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 style="thin">
        <color indexed="64"/>
      </top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3" borderId="1" applyNumberFormat="0" applyAlignment="0" applyProtection="0"/>
    <xf numFmtId="38" fontId="4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2" fillId="0" borderId="0"/>
    <xf numFmtId="0" fontId="16" fillId="0" borderId="0" applyNumberFormat="0" applyFill="0" applyBorder="0" applyAlignment="0" applyProtection="0"/>
    <xf numFmtId="0" fontId="18" fillId="0" borderId="0"/>
    <xf numFmtId="0" fontId="11" fillId="0" borderId="0"/>
    <xf numFmtId="0" fontId="43" fillId="0" borderId="0"/>
    <xf numFmtId="0" fontId="6" fillId="0" borderId="0"/>
    <xf numFmtId="178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9" fontId="12" fillId="0" borderId="0"/>
    <xf numFmtId="180" fontId="6" fillId="0" borderId="0" applyFont="0" applyFill="0" applyBorder="0" applyAlignment="0" applyProtection="0"/>
    <xf numFmtId="0" fontId="44" fillId="0" borderId="0"/>
    <xf numFmtId="17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81" fontId="46" fillId="8" borderId="0" applyNumberFormat="0" applyBorder="0" applyAlignment="0" applyProtection="0"/>
    <xf numFmtId="182" fontId="47" fillId="0" borderId="0" applyFill="0" applyBorder="0" applyAlignment="0" applyProtection="0"/>
    <xf numFmtId="183" fontId="12" fillId="0" borderId="0" applyFont="0" applyFill="0" applyBorder="0" applyAlignment="0" applyProtection="0"/>
    <xf numFmtId="185" fontId="50" fillId="0" borderId="0" applyFont="0" applyFill="0" applyBorder="0" applyAlignment="0" applyProtection="0"/>
    <xf numFmtId="0" fontId="52" fillId="0" borderId="0"/>
    <xf numFmtId="0" fontId="6" fillId="0" borderId="0"/>
    <xf numFmtId="0" fontId="53" fillId="0" borderId="0"/>
    <xf numFmtId="9" fontId="2" fillId="0" borderId="0" applyFont="0" applyFill="0" applyBorder="0" applyAlignment="0" applyProtection="0"/>
    <xf numFmtId="0" fontId="2" fillId="0" borderId="0"/>
    <xf numFmtId="9" fontId="5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43" fontId="53" fillId="0" borderId="0" applyFont="0" applyFill="0" applyBorder="0" applyAlignment="0" applyProtection="0"/>
    <xf numFmtId="0" fontId="55" fillId="10" borderId="0"/>
  </cellStyleXfs>
  <cellXfs count="323"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vertical="center" indent="2"/>
    </xf>
    <xf numFmtId="173" fontId="8" fillId="0" borderId="5" xfId="0" applyNumberFormat="1" applyFont="1" applyBorder="1" applyAlignment="1">
      <alignment vertical="center"/>
    </xf>
    <xf numFmtId="173" fontId="8" fillId="0" borderId="0" xfId="0" applyNumberFormat="1" applyFont="1" applyAlignment="1">
      <alignment vertical="center"/>
    </xf>
    <xf numFmtId="173" fontId="11" fillId="0" borderId="0" xfId="0" applyNumberFormat="1" applyFont="1" applyAlignment="1">
      <alignment vertical="center"/>
    </xf>
    <xf numFmtId="174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horizontal="centerContinuous" vertical="distributed"/>
    </xf>
    <xf numFmtId="15" fontId="13" fillId="4" borderId="0" xfId="8" applyNumberFormat="1" applyFont="1" applyFill="1"/>
    <xf numFmtId="0" fontId="13" fillId="4" borderId="0" xfId="8" applyFont="1" applyFill="1"/>
    <xf numFmtId="0" fontId="14" fillId="4" borderId="0" xfId="8" applyFont="1" applyFill="1"/>
    <xf numFmtId="0" fontId="13" fillId="4" borderId="0" xfId="8" applyFont="1" applyFill="1" applyAlignment="1">
      <alignment horizontal="center" vertical="center"/>
    </xf>
    <xf numFmtId="0" fontId="13" fillId="4" borderId="2" xfId="8" applyFont="1" applyFill="1" applyBorder="1" applyAlignment="1">
      <alignment horizontal="center" vertical="center"/>
    </xf>
    <xf numFmtId="0" fontId="15" fillId="4" borderId="0" xfId="8" applyFont="1" applyFill="1"/>
    <xf numFmtId="0" fontId="16" fillId="4" borderId="0" xfId="9" applyFill="1"/>
    <xf numFmtId="0" fontId="17" fillId="4" borderId="0" xfId="8" applyFont="1" applyFill="1" applyAlignment="1">
      <alignment horizontal="center" vertical="center"/>
    </xf>
    <xf numFmtId="0" fontId="19" fillId="4" borderId="0" xfId="10" applyFont="1" applyFill="1"/>
    <xf numFmtId="0" fontId="20" fillId="4" borderId="0" xfId="8" applyFont="1" applyFill="1"/>
    <xf numFmtId="0" fontId="21" fillId="5" borderId="14" xfId="5" applyFont="1" applyFill="1" applyBorder="1" applyAlignment="1">
      <alignment horizontal="right"/>
    </xf>
    <xf numFmtId="10" fontId="13" fillId="4" borderId="0" xfId="8" applyNumberFormat="1" applyFont="1" applyFill="1"/>
    <xf numFmtId="0" fontId="23" fillId="4" borderId="0" xfId="8" applyFont="1" applyFill="1" applyAlignment="1">
      <alignment vertical="center"/>
    </xf>
    <xf numFmtId="14" fontId="13" fillId="4" borderId="0" xfId="8" applyNumberFormat="1" applyFont="1" applyFill="1"/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173" fontId="8" fillId="0" borderId="0" xfId="0" applyNumberFormat="1" applyFont="1" applyAlignment="1">
      <alignment horizontal="right" vertical="center"/>
    </xf>
    <xf numFmtId="0" fontId="26" fillId="0" borderId="0" xfId="0" applyFont="1" applyAlignment="1">
      <alignment vertical="center"/>
    </xf>
    <xf numFmtId="173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73" fontId="28" fillId="0" borderId="5" xfId="0" applyNumberFormat="1" applyFont="1" applyBorder="1" applyAlignment="1">
      <alignment vertical="center"/>
    </xf>
    <xf numFmtId="173" fontId="10" fillId="0" borderId="5" xfId="0" applyNumberFormat="1" applyFont="1" applyBorder="1" applyAlignment="1">
      <alignment vertical="center"/>
    </xf>
    <xf numFmtId="0" fontId="29" fillId="2" borderId="0" xfId="0" applyFont="1" applyFill="1" applyAlignment="1">
      <alignment vertical="center"/>
    </xf>
    <xf numFmtId="0" fontId="30" fillId="3" borderId="1" xfId="3" applyFont="1" applyAlignment="1">
      <alignment vertical="center"/>
    </xf>
    <xf numFmtId="14" fontId="30" fillId="3" borderId="1" xfId="3" applyNumberFormat="1" applyFont="1" applyAlignment="1">
      <alignment vertical="center"/>
    </xf>
    <xf numFmtId="0" fontId="30" fillId="3" borderId="1" xfId="3" applyFont="1" applyAlignment="1">
      <alignment horizontal="right" vertical="center"/>
    </xf>
    <xf numFmtId="0" fontId="30" fillId="3" borderId="1" xfId="3" applyFont="1" applyAlignment="1">
      <alignment horizontal="center" vertical="center"/>
    </xf>
    <xf numFmtId="14" fontId="30" fillId="3" borderId="1" xfId="3" applyNumberFormat="1" applyFont="1" applyAlignment="1">
      <alignment horizontal="center" vertical="center"/>
    </xf>
    <xf numFmtId="170" fontId="30" fillId="3" borderId="1" xfId="3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171" fontId="30" fillId="3" borderId="1" xfId="3" applyNumberFormat="1" applyFont="1" applyAlignment="1">
      <alignment horizontal="right"/>
    </xf>
    <xf numFmtId="14" fontId="30" fillId="3" borderId="1" xfId="3" applyNumberFormat="1" applyFont="1" applyAlignment="1">
      <alignment horizontal="right"/>
    </xf>
    <xf numFmtId="170" fontId="11" fillId="0" borderId="0" xfId="2" applyNumberFormat="1" applyFont="1" applyAlignment="1">
      <alignment horizontal="right"/>
    </xf>
    <xf numFmtId="14" fontId="11" fillId="0" borderId="0" xfId="2" applyNumberFormat="1" applyFont="1" applyAlignment="1">
      <alignment horizontal="right"/>
    </xf>
    <xf numFmtId="173" fontId="11" fillId="0" borderId="0" xfId="0" applyNumberFormat="1" applyFont="1"/>
    <xf numFmtId="0" fontId="11" fillId="0" borderId="0" xfId="0" applyFont="1" applyAlignment="1">
      <alignment horizontal="right" vertical="center"/>
    </xf>
    <xf numFmtId="171" fontId="30" fillId="3" borderId="1" xfId="3" applyNumberFormat="1" applyFont="1" applyAlignment="1">
      <alignment horizontal="right" vertical="center"/>
    </xf>
    <xf numFmtId="170" fontId="30" fillId="3" borderId="1" xfId="2" applyNumberFormat="1" applyFont="1" applyFill="1" applyBorder="1" applyAlignment="1">
      <alignment horizontal="right" vertical="center"/>
    </xf>
    <xf numFmtId="10" fontId="30" fillId="3" borderId="1" xfId="2" applyNumberFormat="1" applyFont="1" applyFill="1" applyBorder="1" applyAlignment="1">
      <alignment horizontal="right" vertical="center"/>
    </xf>
    <xf numFmtId="10" fontId="11" fillId="0" borderId="0" xfId="2" applyNumberFormat="1" applyFont="1" applyAlignment="1">
      <alignment horizontal="right" vertical="center"/>
    </xf>
    <xf numFmtId="173" fontId="11" fillId="0" borderId="0" xfId="0" applyNumberFormat="1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70" fontId="11" fillId="0" borderId="0" xfId="2" applyNumberFormat="1" applyFont="1" applyAlignment="1">
      <alignment horizontal="right" vertical="center"/>
    </xf>
    <xf numFmtId="0" fontId="11" fillId="0" borderId="3" xfId="0" applyFont="1" applyBorder="1" applyAlignment="1">
      <alignment horizontal="centerContinuous" vertical="distributed"/>
    </xf>
    <xf numFmtId="0" fontId="11" fillId="0" borderId="4" xfId="0" applyFont="1" applyBorder="1" applyAlignment="1">
      <alignment horizontal="centerContinuous" vertical="distributed"/>
    </xf>
    <xf numFmtId="174" fontId="11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 indent="2"/>
    </xf>
    <xf numFmtId="170" fontId="24" fillId="0" borderId="0" xfId="0" applyNumberFormat="1" applyFont="1" applyAlignment="1">
      <alignment vertical="center"/>
    </xf>
    <xf numFmtId="0" fontId="8" fillId="0" borderId="0" xfId="0" applyFont="1" applyAlignment="1">
      <alignment horizontal="centerContinuous" vertical="distributed"/>
    </xf>
    <xf numFmtId="0" fontId="11" fillId="0" borderId="0" xfId="0" applyFont="1" applyAlignment="1">
      <alignment horizontal="centerContinuous" vertical="distributed"/>
    </xf>
    <xf numFmtId="0" fontId="11" fillId="0" borderId="0" xfId="0" applyFont="1" applyAlignment="1">
      <alignment horizontal="center" vertical="distributed"/>
    </xf>
    <xf numFmtId="0" fontId="8" fillId="0" borderId="0" xfId="0" applyFont="1" applyAlignment="1">
      <alignment horizontal="right" vertical="distributed"/>
    </xf>
    <xf numFmtId="14" fontId="3" fillId="3" borderId="1" xfId="3" applyNumberFormat="1" applyAlignment="1">
      <alignment horizontal="right" vertical="center"/>
    </xf>
    <xf numFmtId="0" fontId="32" fillId="0" borderId="0" xfId="0" applyFont="1" applyAlignment="1">
      <alignment horizontal="right" vertical="center"/>
    </xf>
    <xf numFmtId="173" fontId="32" fillId="0" borderId="0" xfId="0" applyNumberFormat="1" applyFont="1" applyAlignment="1">
      <alignment horizontal="right" vertical="center"/>
    </xf>
    <xf numFmtId="175" fontId="28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27" fillId="0" borderId="0" xfId="0" applyFont="1" applyAlignment="1">
      <alignment horizontal="centerContinuous" vertical="distributed"/>
    </xf>
    <xf numFmtId="0" fontId="33" fillId="0" borderId="5" xfId="0" applyFont="1" applyBorder="1" applyAlignment="1">
      <alignment horizontal="right"/>
    </xf>
    <xf numFmtId="0" fontId="1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73" fontId="31" fillId="0" borderId="0" xfId="0" applyNumberFormat="1" applyFont="1" applyAlignment="1">
      <alignment vertical="center"/>
    </xf>
    <xf numFmtId="0" fontId="34" fillId="0" borderId="0" xfId="0" applyFont="1"/>
    <xf numFmtId="0" fontId="34" fillId="0" borderId="0" xfId="0" applyFont="1" applyAlignment="1">
      <alignment horizontal="right"/>
    </xf>
    <xf numFmtId="0" fontId="8" fillId="0" borderId="0" xfId="0" applyFont="1"/>
    <xf numFmtId="0" fontId="0" fillId="0" borderId="0" xfId="0" applyAlignment="1">
      <alignment horizontal="right"/>
    </xf>
    <xf numFmtId="171" fontId="35" fillId="3" borderId="1" xfId="3" applyNumberFormat="1" applyFont="1" applyAlignment="1">
      <alignment horizontal="right"/>
    </xf>
    <xf numFmtId="14" fontId="28" fillId="0" borderId="0" xfId="0" applyNumberFormat="1" applyFont="1" applyAlignment="1">
      <alignment vertical="center"/>
    </xf>
    <xf numFmtId="10" fontId="35" fillId="3" borderId="1" xfId="2" applyNumberFormat="1" applyFont="1" applyFill="1" applyBorder="1" applyAlignment="1">
      <alignment horizontal="right" vertical="center"/>
    </xf>
    <xf numFmtId="172" fontId="24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/>
    </xf>
    <xf numFmtId="173" fontId="24" fillId="0" borderId="0" xfId="1" applyNumberFormat="1" applyFont="1" applyAlignment="1">
      <alignment vertical="center"/>
    </xf>
    <xf numFmtId="14" fontId="24" fillId="0" borderId="0" xfId="0" applyNumberFormat="1" applyFont="1" applyAlignment="1">
      <alignment vertical="center"/>
    </xf>
    <xf numFmtId="0" fontId="8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170" fontId="10" fillId="0" borderId="5" xfId="2" applyNumberFormat="1" applyFont="1" applyBorder="1" applyAlignment="1">
      <alignment vertical="center"/>
    </xf>
    <xf numFmtId="170" fontId="10" fillId="0" borderId="12" xfId="2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167" fontId="11" fillId="0" borderId="10" xfId="2" applyNumberFormat="1" applyFont="1" applyBorder="1" applyAlignment="1">
      <alignment horizontal="right"/>
    </xf>
    <xf numFmtId="167" fontId="11" fillId="0" borderId="11" xfId="2" applyNumberFormat="1" applyFont="1" applyBorder="1" applyAlignment="1">
      <alignment horizontal="right"/>
    </xf>
    <xf numFmtId="0" fontId="0" fillId="0" borderId="0" xfId="2" applyNumberFormat="1" applyFont="1" applyBorder="1"/>
    <xf numFmtId="0" fontId="8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165" fontId="10" fillId="0" borderId="0" xfId="0" applyNumberFormat="1" applyFont="1" applyAlignment="1">
      <alignment horizontal="right"/>
    </xf>
    <xf numFmtId="10" fontId="10" fillId="0" borderId="0" xfId="2" applyNumberFormat="1" applyFont="1" applyAlignment="1">
      <alignment vertical="center"/>
    </xf>
    <xf numFmtId="176" fontId="3" fillId="3" borderId="1" xfId="3" applyNumberFormat="1" applyAlignment="1">
      <alignment horizontal="right"/>
    </xf>
    <xf numFmtId="10" fontId="11" fillId="0" borderId="0" xfId="0" applyNumberFormat="1" applyFont="1" applyAlignment="1">
      <alignment vertical="center"/>
    </xf>
    <xf numFmtId="172" fontId="24" fillId="0" borderId="0" xfId="0" applyNumberFormat="1" applyFont="1" applyAlignment="1">
      <alignment vertical="center"/>
    </xf>
    <xf numFmtId="173" fontId="28" fillId="0" borderId="0" xfId="0" applyNumberFormat="1" applyFont="1" applyAlignment="1">
      <alignment vertical="center"/>
    </xf>
    <xf numFmtId="177" fontId="30" fillId="3" borderId="1" xfId="3" applyNumberFormat="1" applyFont="1" applyAlignment="1">
      <alignment horizontal="right"/>
    </xf>
    <xf numFmtId="176" fontId="11" fillId="0" borderId="0" xfId="0" applyNumberFormat="1" applyFont="1" applyAlignment="1">
      <alignment vertical="center"/>
    </xf>
    <xf numFmtId="170" fontId="11" fillId="0" borderId="0" xfId="0" applyNumberFormat="1" applyFont="1" applyAlignment="1">
      <alignment vertical="center"/>
    </xf>
    <xf numFmtId="9" fontId="30" fillId="3" borderId="1" xfId="2" applyFont="1" applyFill="1" applyBorder="1" applyAlignment="1">
      <alignment horizontal="right" vertical="center"/>
    </xf>
    <xf numFmtId="9" fontId="11" fillId="0" borderId="0" xfId="0" applyNumberFormat="1" applyFont="1" applyAlignment="1">
      <alignment vertical="center"/>
    </xf>
    <xf numFmtId="177" fontId="30" fillId="3" borderId="17" xfId="3" applyNumberFormat="1" applyFont="1" applyBorder="1" applyAlignment="1">
      <alignment horizontal="right"/>
    </xf>
    <xf numFmtId="0" fontId="9" fillId="0" borderId="0" xfId="0" applyFont="1"/>
    <xf numFmtId="169" fontId="9" fillId="0" borderId="0" xfId="2" applyNumberFormat="1" applyFont="1" applyBorder="1"/>
    <xf numFmtId="169" fontId="35" fillId="3" borderId="1" xfId="3" applyNumberFormat="1" applyFont="1"/>
    <xf numFmtId="0" fontId="9" fillId="0" borderId="0" xfId="0" applyFont="1" applyAlignment="1">
      <alignment horizontal="left" vertical="center"/>
    </xf>
    <xf numFmtId="173" fontId="3" fillId="3" borderId="1" xfId="3" applyNumberFormat="1" applyAlignment="1">
      <alignment vertical="center"/>
    </xf>
    <xf numFmtId="168" fontId="7" fillId="0" borderId="0" xfId="0" applyNumberFormat="1" applyFont="1"/>
    <xf numFmtId="174" fontId="10" fillId="0" borderId="0" xfId="0" applyNumberFormat="1" applyFont="1" applyAlignment="1">
      <alignment horizontal="right" vertical="center"/>
    </xf>
    <xf numFmtId="0" fontId="11" fillId="0" borderId="5" xfId="0" applyFont="1" applyBorder="1" applyAlignment="1">
      <alignment horizontal="centerContinuous" vertical="distributed"/>
    </xf>
    <xf numFmtId="0" fontId="11" fillId="0" borderId="12" xfId="0" applyFont="1" applyBorder="1" applyAlignment="1">
      <alignment horizontal="centerContinuous" vertical="distributed"/>
    </xf>
    <xf numFmtId="173" fontId="9" fillId="0" borderId="0" xfId="0" applyNumberFormat="1" applyFont="1" applyAlignment="1">
      <alignment vertical="center"/>
    </xf>
    <xf numFmtId="0" fontId="8" fillId="0" borderId="6" xfId="0" applyFont="1" applyBorder="1" applyAlignment="1">
      <alignment horizontal="centerContinuous" vertical="distributed"/>
    </xf>
    <xf numFmtId="167" fontId="8" fillId="0" borderId="0" xfId="0" applyNumberFormat="1" applyFont="1" applyAlignment="1">
      <alignment vertical="center"/>
    </xf>
    <xf numFmtId="167" fontId="11" fillId="0" borderId="9" xfId="0" applyNumberFormat="1" applyFont="1" applyBorder="1" applyAlignment="1">
      <alignment vertical="center"/>
    </xf>
    <xf numFmtId="167" fontId="11" fillId="0" borderId="10" xfId="0" applyNumberFormat="1" applyFont="1" applyBorder="1" applyAlignment="1">
      <alignment vertical="center"/>
    </xf>
    <xf numFmtId="167" fontId="11" fillId="0" borderId="11" xfId="0" applyNumberFormat="1" applyFont="1" applyBorder="1" applyAlignment="1">
      <alignment vertical="center"/>
    </xf>
    <xf numFmtId="164" fontId="11" fillId="0" borderId="0" xfId="1" applyNumberFormat="1" applyFont="1" applyFill="1" applyAlignment="1">
      <alignment horizontal="right"/>
    </xf>
    <xf numFmtId="177" fontId="34" fillId="0" borderId="0" xfId="0" applyNumberFormat="1" applyFont="1" applyAlignment="1">
      <alignment horizontal="right"/>
    </xf>
    <xf numFmtId="177" fontId="34" fillId="7" borderId="0" xfId="0" applyNumberFormat="1" applyFont="1" applyFill="1" applyAlignment="1">
      <alignment horizontal="right"/>
    </xf>
    <xf numFmtId="177" fontId="11" fillId="0" borderId="0" xfId="0" applyNumberFormat="1" applyFont="1" applyAlignment="1">
      <alignment vertical="center"/>
    </xf>
    <xf numFmtId="175" fontId="37" fillId="0" borderId="0" xfId="0" applyNumberFormat="1" applyFont="1" applyAlignment="1">
      <alignment horizontal="right"/>
    </xf>
    <xf numFmtId="175" fontId="39" fillId="0" borderId="0" xfId="0" applyNumberFormat="1" applyFont="1" applyAlignment="1">
      <alignment vertical="center"/>
    </xf>
    <xf numFmtId="173" fontId="40" fillId="0" borderId="0" xfId="0" applyNumberFormat="1" applyFont="1" applyAlignment="1">
      <alignment vertical="center"/>
    </xf>
    <xf numFmtId="173" fontId="40" fillId="0" borderId="5" xfId="0" applyNumberFormat="1" applyFont="1" applyBorder="1" applyAlignment="1">
      <alignment vertical="center"/>
    </xf>
    <xf numFmtId="177" fontId="40" fillId="3" borderId="1" xfId="3" applyNumberFormat="1" applyFont="1" applyAlignment="1">
      <alignment horizontal="right"/>
    </xf>
    <xf numFmtId="0" fontId="4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173" fontId="39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right" vertical="center"/>
    </xf>
    <xf numFmtId="0" fontId="29" fillId="2" borderId="18" xfId="0" applyFont="1" applyFill="1" applyBorder="1" applyAlignment="1">
      <alignment vertical="center"/>
    </xf>
    <xf numFmtId="0" fontId="29" fillId="2" borderId="19" xfId="0" applyFont="1" applyFill="1" applyBorder="1" applyAlignment="1">
      <alignment horizontal="centerContinuous" vertical="distributed"/>
    </xf>
    <xf numFmtId="0" fontId="29" fillId="2" borderId="20" xfId="0" applyFont="1" applyFill="1" applyBorder="1" applyAlignment="1">
      <alignment horizontal="centerContinuous" vertical="distributed"/>
    </xf>
    <xf numFmtId="0" fontId="29" fillId="2" borderId="21" xfId="0" applyFont="1" applyFill="1" applyBorder="1" applyAlignment="1">
      <alignment vertical="center"/>
    </xf>
    <xf numFmtId="0" fontId="29" fillId="2" borderId="0" xfId="0" applyFont="1" applyFill="1" applyAlignment="1">
      <alignment horizontal="centerContinuous" vertical="distributed"/>
    </xf>
    <xf numFmtId="0" fontId="29" fillId="2" borderId="22" xfId="0" applyFont="1" applyFill="1" applyBorder="1" applyAlignment="1">
      <alignment horizontal="centerContinuous" vertical="distributed"/>
    </xf>
    <xf numFmtId="170" fontId="41" fillId="2" borderId="0" xfId="0" applyNumberFormat="1" applyFont="1" applyFill="1" applyAlignment="1">
      <alignment vertical="center"/>
    </xf>
    <xf numFmtId="174" fontId="29" fillId="2" borderId="0" xfId="0" applyNumberFormat="1" applyFont="1" applyFill="1" applyAlignment="1">
      <alignment vertical="center"/>
    </xf>
    <xf numFmtId="174" fontId="29" fillId="2" borderId="22" xfId="0" applyNumberFormat="1" applyFont="1" applyFill="1" applyBorder="1" applyAlignment="1">
      <alignment vertical="center"/>
    </xf>
    <xf numFmtId="167" fontId="29" fillId="2" borderId="0" xfId="0" applyNumberFormat="1" applyFont="1" applyFill="1" applyAlignment="1">
      <alignment vertical="center"/>
    </xf>
    <xf numFmtId="0" fontId="38" fillId="2" borderId="18" xfId="0" applyFont="1" applyFill="1" applyBorder="1" applyAlignment="1">
      <alignment vertical="center"/>
    </xf>
    <xf numFmtId="0" fontId="38" fillId="2" borderId="19" xfId="0" applyFont="1" applyFill="1" applyBorder="1" applyAlignment="1">
      <alignment horizontal="centerContinuous" vertical="distributed"/>
    </xf>
    <xf numFmtId="0" fontId="38" fillId="2" borderId="20" xfId="0" applyFont="1" applyFill="1" applyBorder="1" applyAlignment="1">
      <alignment horizontal="centerContinuous" vertical="distributed"/>
    </xf>
    <xf numFmtId="174" fontId="41" fillId="2" borderId="0" xfId="0" applyNumberFormat="1" applyFont="1" applyFill="1" applyAlignment="1">
      <alignment vertical="center"/>
    </xf>
    <xf numFmtId="167" fontId="29" fillId="2" borderId="24" xfId="0" applyNumberFormat="1" applyFont="1" applyFill="1" applyBorder="1" applyAlignment="1">
      <alignment vertical="center"/>
    </xf>
    <xf numFmtId="170" fontId="11" fillId="0" borderId="0" xfId="2" applyNumberFormat="1" applyFont="1" applyBorder="1" applyAlignment="1">
      <alignment vertical="center"/>
    </xf>
    <xf numFmtId="170" fontId="11" fillId="0" borderId="22" xfId="2" applyNumberFormat="1" applyFont="1" applyBorder="1" applyAlignment="1">
      <alignment vertical="center"/>
    </xf>
    <xf numFmtId="170" fontId="11" fillId="0" borderId="24" xfId="2" applyNumberFormat="1" applyFont="1" applyBorder="1" applyAlignment="1">
      <alignment vertical="center"/>
    </xf>
    <xf numFmtId="170" fontId="11" fillId="0" borderId="25" xfId="2" applyNumberFormat="1" applyFont="1" applyBorder="1" applyAlignment="1">
      <alignment vertical="center"/>
    </xf>
    <xf numFmtId="170" fontId="8" fillId="0" borderId="0" xfId="2" applyNumberFormat="1" applyFont="1" applyBorder="1" applyAlignment="1">
      <alignment vertical="center"/>
    </xf>
    <xf numFmtId="167" fontId="11" fillId="0" borderId="0" xfId="0" applyNumberFormat="1" applyFont="1" applyAlignment="1">
      <alignment vertical="center"/>
    </xf>
    <xf numFmtId="167" fontId="11" fillId="0" borderId="22" xfId="0" applyNumberFormat="1" applyFont="1" applyBorder="1" applyAlignment="1">
      <alignment vertical="center"/>
    </xf>
    <xf numFmtId="167" fontId="11" fillId="0" borderId="24" xfId="0" applyNumberFormat="1" applyFont="1" applyBorder="1" applyAlignment="1">
      <alignment vertical="center"/>
    </xf>
    <xf numFmtId="167" fontId="11" fillId="0" borderId="25" xfId="0" applyNumberFormat="1" applyFont="1" applyBorder="1" applyAlignment="1">
      <alignment vertical="center"/>
    </xf>
    <xf numFmtId="0" fontId="42" fillId="2" borderId="19" xfId="0" applyFont="1" applyFill="1" applyBorder="1" applyAlignment="1">
      <alignment horizontal="centerContinuous" vertical="distributed"/>
    </xf>
    <xf numFmtId="0" fontId="1" fillId="2" borderId="0" xfId="0" applyFont="1" applyFill="1" applyAlignment="1">
      <alignment horizontal="centerContinuous" vertical="distributed"/>
    </xf>
    <xf numFmtId="0" fontId="1" fillId="2" borderId="19" xfId="0" applyFont="1" applyFill="1" applyBorder="1" applyAlignment="1">
      <alignment horizontal="centerContinuous" vertical="distributed"/>
    </xf>
    <xf numFmtId="167" fontId="11" fillId="0" borderId="18" xfId="0" applyNumberFormat="1" applyFont="1" applyBorder="1" applyAlignment="1">
      <alignment vertical="center"/>
    </xf>
    <xf numFmtId="167" fontId="11" fillId="0" borderId="19" xfId="0" applyNumberFormat="1" applyFont="1" applyBorder="1" applyAlignment="1">
      <alignment vertical="center"/>
    </xf>
    <xf numFmtId="167" fontId="11" fillId="0" borderId="20" xfId="0" applyNumberFormat="1" applyFont="1" applyBorder="1" applyAlignment="1">
      <alignment vertical="center"/>
    </xf>
    <xf numFmtId="167" fontId="11" fillId="0" borderId="21" xfId="0" applyNumberFormat="1" applyFont="1" applyBorder="1" applyAlignment="1">
      <alignment vertical="center"/>
    </xf>
    <xf numFmtId="167" fontId="11" fillId="0" borderId="23" xfId="0" applyNumberFormat="1" applyFont="1" applyBorder="1" applyAlignment="1">
      <alignment vertical="center"/>
    </xf>
    <xf numFmtId="170" fontId="11" fillId="0" borderId="18" xfId="2" applyNumberFormat="1" applyFont="1" applyBorder="1" applyAlignment="1">
      <alignment vertical="center"/>
    </xf>
    <xf numFmtId="170" fontId="11" fillId="0" borderId="19" xfId="2" applyNumberFormat="1" applyFont="1" applyBorder="1" applyAlignment="1">
      <alignment vertical="center"/>
    </xf>
    <xf numFmtId="170" fontId="11" fillId="0" borderId="20" xfId="2" applyNumberFormat="1" applyFont="1" applyBorder="1" applyAlignment="1">
      <alignment vertical="center"/>
    </xf>
    <xf numFmtId="170" fontId="11" fillId="0" borderId="21" xfId="2" applyNumberFormat="1" applyFont="1" applyBorder="1" applyAlignment="1">
      <alignment vertical="center"/>
    </xf>
    <xf numFmtId="170" fontId="11" fillId="0" borderId="23" xfId="2" applyNumberFormat="1" applyFont="1" applyBorder="1" applyAlignment="1">
      <alignment vertical="center"/>
    </xf>
    <xf numFmtId="164" fontId="27" fillId="0" borderId="0" xfId="0" applyNumberFormat="1" applyFont="1" applyAlignment="1">
      <alignment vertical="center"/>
    </xf>
    <xf numFmtId="14" fontId="13" fillId="4" borderId="4" xfId="8" applyNumberFormat="1" applyFont="1" applyFill="1" applyBorder="1" applyAlignment="1">
      <alignment horizontal="center" vertical="center"/>
    </xf>
    <xf numFmtId="173" fontId="40" fillId="6" borderId="0" xfId="0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73" fontId="39" fillId="0" borderId="5" xfId="0" applyNumberFormat="1" applyFont="1" applyBorder="1" applyAlignment="1">
      <alignment vertical="center"/>
    </xf>
    <xf numFmtId="173" fontId="28" fillId="0" borderId="13" xfId="0" applyNumberFormat="1" applyFont="1" applyBorder="1" applyAlignment="1">
      <alignment vertical="center"/>
    </xf>
    <xf numFmtId="173" fontId="28" fillId="0" borderId="15" xfId="0" applyNumberFormat="1" applyFont="1" applyBorder="1" applyAlignment="1">
      <alignment vertical="center"/>
    </xf>
    <xf numFmtId="173" fontId="36" fillId="0" borderId="13" xfId="0" applyNumberFormat="1" applyFont="1" applyBorder="1" applyAlignment="1">
      <alignment vertical="center"/>
    </xf>
    <xf numFmtId="0" fontId="37" fillId="0" borderId="13" xfId="0" applyFont="1" applyBorder="1" applyAlignment="1">
      <alignment horizontal="right"/>
    </xf>
    <xf numFmtId="170" fontId="28" fillId="0" borderId="15" xfId="2" applyNumberFormat="1" applyFont="1" applyBorder="1" applyAlignment="1">
      <alignment vertical="center"/>
    </xf>
    <xf numFmtId="167" fontId="8" fillId="0" borderId="16" xfId="2" applyNumberFormat="1" applyFont="1" applyBorder="1" applyAlignment="1">
      <alignment horizontal="right"/>
    </xf>
    <xf numFmtId="176" fontId="9" fillId="0" borderId="0" xfId="0" applyNumberFormat="1" applyFont="1" applyAlignment="1">
      <alignment vertical="center"/>
    </xf>
    <xf numFmtId="0" fontId="27" fillId="0" borderId="0" xfId="0" applyFont="1" applyAlignment="1">
      <alignment horizontal="right" vertical="center"/>
    </xf>
    <xf numFmtId="0" fontId="34" fillId="2" borderId="0" xfId="0" applyFont="1" applyFill="1" applyAlignment="1">
      <alignment horizontal="centerContinuous" vertical="distributed"/>
    </xf>
    <xf numFmtId="0" fontId="37" fillId="2" borderId="0" xfId="0" applyFont="1" applyFill="1" applyAlignment="1">
      <alignment horizontal="centerContinuous" vertical="distributed"/>
    </xf>
    <xf numFmtId="0" fontId="27" fillId="0" borderId="3" xfId="0" applyFont="1" applyBorder="1" applyAlignment="1">
      <alignment horizontal="centerContinuous" vertical="distributed"/>
    </xf>
    <xf numFmtId="0" fontId="27" fillId="0" borderId="4" xfId="0" applyFont="1" applyBorder="1" applyAlignment="1">
      <alignment horizontal="centerContinuous" vertical="distributed"/>
    </xf>
    <xf numFmtId="0" fontId="45" fillId="0" borderId="6" xfId="0" applyFont="1" applyBorder="1" applyAlignment="1">
      <alignment horizontal="right"/>
    </xf>
    <xf numFmtId="0" fontId="45" fillId="0" borderId="0" xfId="0" applyFont="1" applyAlignment="1">
      <alignment horizontal="right"/>
    </xf>
    <xf numFmtId="175" fontId="36" fillId="0" borderId="8" xfId="0" applyNumberFormat="1" applyFont="1" applyBorder="1" applyAlignment="1">
      <alignment vertical="center"/>
    </xf>
    <xf numFmtId="175" fontId="36" fillId="0" borderId="0" xfId="0" applyNumberFormat="1" applyFont="1" applyAlignment="1">
      <alignment vertical="center"/>
    </xf>
    <xf numFmtId="173" fontId="31" fillId="0" borderId="8" xfId="0" applyNumberFormat="1" applyFont="1" applyBorder="1" applyAlignment="1">
      <alignment vertical="center"/>
    </xf>
    <xf numFmtId="173" fontId="36" fillId="0" borderId="6" xfId="0" applyNumberFormat="1" applyFont="1" applyBorder="1" applyAlignment="1">
      <alignment vertical="center"/>
    </xf>
    <xf numFmtId="173" fontId="36" fillId="0" borderId="5" xfId="0" applyNumberFormat="1" applyFont="1" applyBorder="1" applyAlignment="1">
      <alignment vertical="center"/>
    </xf>
    <xf numFmtId="166" fontId="31" fillId="0" borderId="0" xfId="0" applyNumberFormat="1" applyFont="1"/>
    <xf numFmtId="166" fontId="36" fillId="0" borderId="0" xfId="0" applyNumberFormat="1" applyFont="1"/>
    <xf numFmtId="182" fontId="48" fillId="0" borderId="0" xfId="23" applyFont="1" applyAlignment="1">
      <alignment horizontal="center" vertical="center"/>
    </xf>
    <xf numFmtId="182" fontId="49" fillId="0" borderId="0" xfId="23" applyFont="1" applyAlignment="1">
      <alignment vertical="center"/>
    </xf>
    <xf numFmtId="182" fontId="48" fillId="0" borderId="0" xfId="23" applyFont="1" applyAlignment="1">
      <alignment vertical="center"/>
    </xf>
    <xf numFmtId="182" fontId="49" fillId="0" borderId="0" xfId="23" applyFont="1" applyBorder="1" applyAlignment="1">
      <alignment vertical="center"/>
    </xf>
    <xf numFmtId="182" fontId="49" fillId="0" borderId="0" xfId="23" applyFont="1" applyBorder="1" applyAlignment="1">
      <alignment horizontal="center" vertical="center"/>
    </xf>
    <xf numFmtId="182" fontId="48" fillId="0" borderId="0" xfId="23" applyFont="1" applyBorder="1" applyAlignment="1">
      <alignment horizontal="center" vertical="center"/>
    </xf>
    <xf numFmtId="182" fontId="49" fillId="0" borderId="0" xfId="23" applyFont="1" applyAlignment="1">
      <alignment horizontal="center" vertical="center"/>
    </xf>
    <xf numFmtId="182" fontId="49" fillId="9" borderId="0" xfId="23" applyFont="1" applyFill="1" applyAlignment="1">
      <alignment vertical="center"/>
    </xf>
    <xf numFmtId="182" fontId="49" fillId="0" borderId="6" xfId="23" applyFont="1" applyBorder="1" applyAlignment="1">
      <alignment vertical="center"/>
    </xf>
    <xf numFmtId="182" fontId="49" fillId="0" borderId="8" xfId="23" applyFont="1" applyBorder="1" applyAlignment="1">
      <alignment vertical="center"/>
    </xf>
    <xf numFmtId="182" fontId="49" fillId="0" borderId="9" xfId="23" applyFont="1" applyBorder="1" applyAlignment="1">
      <alignment vertical="center"/>
    </xf>
    <xf numFmtId="184" fontId="49" fillId="0" borderId="0" xfId="23" applyNumberFormat="1" applyFont="1" applyAlignment="1">
      <alignment vertical="center"/>
    </xf>
    <xf numFmtId="184" fontId="49" fillId="0" borderId="0" xfId="23" applyNumberFormat="1" applyFont="1" applyBorder="1" applyAlignment="1">
      <alignment horizontal="center" vertical="center"/>
    </xf>
    <xf numFmtId="186" fontId="49" fillId="0" borderId="12" xfId="25" applyNumberFormat="1" applyFont="1" applyBorder="1" applyAlignment="1">
      <alignment horizontal="center" vertical="center"/>
    </xf>
    <xf numFmtId="186" fontId="49" fillId="0" borderId="11" xfId="25" applyNumberFormat="1" applyFont="1" applyBorder="1" applyAlignment="1">
      <alignment horizontal="center" vertical="center"/>
    </xf>
    <xf numFmtId="187" fontId="49" fillId="0" borderId="12" xfId="23" applyNumberFormat="1" applyFont="1" applyBorder="1" applyAlignment="1">
      <alignment horizontal="center" vertical="center"/>
    </xf>
    <xf numFmtId="187" fontId="49" fillId="0" borderId="7" xfId="23" applyNumberFormat="1" applyFont="1" applyBorder="1" applyAlignment="1">
      <alignment horizontal="center" vertical="center"/>
    </xf>
    <xf numFmtId="187" fontId="49" fillId="0" borderId="11" xfId="23" applyNumberFormat="1" applyFont="1" applyBorder="1" applyAlignment="1">
      <alignment horizontal="center" vertical="center"/>
    </xf>
    <xf numFmtId="187" fontId="51" fillId="0" borderId="0" xfId="23" applyNumberFormat="1" applyFont="1" applyAlignment="1">
      <alignment horizontal="center" vertical="center"/>
    </xf>
    <xf numFmtId="182" fontId="51" fillId="0" borderId="0" xfId="23" applyFont="1" applyAlignment="1">
      <alignment horizontal="center" vertical="center"/>
    </xf>
    <xf numFmtId="182" fontId="51" fillId="0" borderId="0" xfId="23" applyFont="1" applyAlignment="1">
      <alignment vertical="center"/>
    </xf>
    <xf numFmtId="183" fontId="51" fillId="0" borderId="0" xfId="24" applyFont="1" applyAlignment="1">
      <alignment horizontal="center" vertical="center"/>
    </xf>
    <xf numFmtId="174" fontId="3" fillId="3" borderId="1" xfId="3" applyNumberFormat="1" applyAlignment="1">
      <alignment vertical="center"/>
    </xf>
    <xf numFmtId="167" fontId="3" fillId="3" borderId="1" xfId="3" applyNumberFormat="1" applyAlignment="1">
      <alignment vertical="center"/>
    </xf>
    <xf numFmtId="0" fontId="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73" fontId="8" fillId="0" borderId="0" xfId="0" applyNumberFormat="1" applyFont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73" fontId="8" fillId="0" borderId="7" xfId="0" applyNumberFormat="1" applyFont="1" applyBorder="1" applyAlignment="1">
      <alignment horizontal="center" vertical="center"/>
    </xf>
    <xf numFmtId="174" fontId="10" fillId="0" borderId="0" xfId="0" applyNumberFormat="1" applyFont="1" applyAlignment="1">
      <alignment horizontal="center" vertical="center"/>
    </xf>
    <xf numFmtId="174" fontId="10" fillId="0" borderId="8" xfId="0" applyNumberFormat="1" applyFont="1" applyBorder="1" applyAlignment="1">
      <alignment horizontal="center" vertical="center"/>
    </xf>
    <xf numFmtId="174" fontId="10" fillId="0" borderId="7" xfId="0" applyNumberFormat="1" applyFont="1" applyBorder="1" applyAlignment="1">
      <alignment horizontal="center" vertical="center"/>
    </xf>
    <xf numFmtId="173" fontId="11" fillId="0" borderId="0" xfId="0" applyNumberFormat="1" applyFont="1" applyAlignment="1">
      <alignment horizontal="center" vertical="center"/>
    </xf>
    <xf numFmtId="173" fontId="11" fillId="0" borderId="8" xfId="0" applyNumberFormat="1" applyFont="1" applyBorder="1" applyAlignment="1">
      <alignment horizontal="center" vertical="center"/>
    </xf>
    <xf numFmtId="173" fontId="11" fillId="0" borderId="7" xfId="0" applyNumberFormat="1" applyFont="1" applyBorder="1" applyAlignment="1">
      <alignment horizontal="center" vertical="center"/>
    </xf>
    <xf numFmtId="173" fontId="11" fillId="0" borderId="5" xfId="0" applyNumberFormat="1" applyFont="1" applyBorder="1" applyAlignment="1">
      <alignment horizontal="center" vertical="center"/>
    </xf>
    <xf numFmtId="173" fontId="11" fillId="0" borderId="6" xfId="0" applyNumberFormat="1" applyFont="1" applyBorder="1" applyAlignment="1">
      <alignment horizontal="center" vertical="center"/>
    </xf>
    <xf numFmtId="173" fontId="11" fillId="0" borderId="12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74" fontId="11" fillId="0" borderId="0" xfId="0" applyNumberFormat="1" applyFont="1" applyAlignment="1">
      <alignment horizontal="center" vertical="center"/>
    </xf>
    <xf numFmtId="174" fontId="11" fillId="0" borderId="8" xfId="0" applyNumberFormat="1" applyFont="1" applyBorder="1" applyAlignment="1">
      <alignment horizontal="center" vertical="center"/>
    </xf>
    <xf numFmtId="174" fontId="11" fillId="0" borderId="7" xfId="0" applyNumberFormat="1" applyFont="1" applyBorder="1" applyAlignment="1">
      <alignment horizontal="center" vertical="center"/>
    </xf>
    <xf numFmtId="170" fontId="11" fillId="0" borderId="0" xfId="2" applyNumberFormat="1" applyFont="1" applyAlignment="1">
      <alignment horizontal="center" vertical="center"/>
    </xf>
    <xf numFmtId="170" fontId="11" fillId="0" borderId="8" xfId="2" applyNumberFormat="1" applyFont="1" applyBorder="1" applyAlignment="1">
      <alignment horizontal="center" vertical="center"/>
    </xf>
    <xf numFmtId="170" fontId="11" fillId="0" borderId="7" xfId="2" applyNumberFormat="1" applyFont="1" applyBorder="1" applyAlignment="1">
      <alignment horizontal="center" vertical="center"/>
    </xf>
    <xf numFmtId="166" fontId="31" fillId="0" borderId="0" xfId="2" applyNumberFormat="1" applyFont="1" applyAlignment="1">
      <alignment vertical="center"/>
    </xf>
    <xf numFmtId="173" fontId="10" fillId="0" borderId="0" xfId="30" applyNumberFormat="1" applyFont="1" applyAlignment="1">
      <alignment vertical="center"/>
    </xf>
    <xf numFmtId="170" fontId="11" fillId="0" borderId="0" xfId="29" applyNumberFormat="1" applyFont="1" applyAlignment="1">
      <alignment vertical="center"/>
    </xf>
    <xf numFmtId="174" fontId="10" fillId="0" borderId="0" xfId="30" applyNumberFormat="1" applyFont="1" applyAlignment="1">
      <alignment vertical="center"/>
    </xf>
    <xf numFmtId="173" fontId="11" fillId="0" borderId="0" xfId="30" applyNumberFormat="1" applyFont="1" applyAlignment="1">
      <alignment vertical="center"/>
    </xf>
    <xf numFmtId="0" fontId="11" fillId="0" borderId="0" xfId="30" applyFont="1" applyAlignment="1">
      <alignment vertical="center"/>
    </xf>
    <xf numFmtId="170" fontId="10" fillId="0" borderId="0" xfId="29" applyNumberFormat="1" applyFont="1" applyAlignment="1">
      <alignment vertical="center"/>
    </xf>
    <xf numFmtId="10" fontId="31" fillId="0" borderId="0" xfId="29" applyNumberFormat="1" applyFont="1" applyAlignment="1">
      <alignment vertical="center"/>
    </xf>
    <xf numFmtId="10" fontId="10" fillId="0" borderId="0" xfId="30" applyNumberFormat="1" applyFont="1" applyAlignment="1">
      <alignment vertical="center"/>
    </xf>
    <xf numFmtId="173" fontId="28" fillId="0" borderId="5" xfId="30" applyNumberFormat="1" applyFont="1" applyBorder="1" applyAlignment="1">
      <alignment vertical="center"/>
    </xf>
    <xf numFmtId="170" fontId="28" fillId="0" borderId="5" xfId="29" applyNumberFormat="1" applyFont="1" applyBorder="1" applyAlignment="1">
      <alignment vertical="center"/>
    </xf>
    <xf numFmtId="174" fontId="28" fillId="0" borderId="5" xfId="30" applyNumberFormat="1" applyFont="1" applyBorder="1" applyAlignment="1">
      <alignment vertical="center"/>
    </xf>
    <xf numFmtId="10" fontId="36" fillId="0" borderId="5" xfId="29" applyNumberFormat="1" applyFont="1" applyBorder="1" applyAlignment="1">
      <alignment vertical="center"/>
    </xf>
    <xf numFmtId="10" fontId="28" fillId="0" borderId="5" xfId="29" applyNumberFormat="1" applyFont="1" applyBorder="1" applyAlignment="1">
      <alignment vertical="center"/>
    </xf>
    <xf numFmtId="164" fontId="10" fillId="0" borderId="0" xfId="30" applyNumberFormat="1" applyFont="1" applyAlignment="1">
      <alignment vertical="center"/>
    </xf>
    <xf numFmtId="0" fontId="10" fillId="0" borderId="0" xfId="30" applyFont="1" applyAlignment="1">
      <alignment vertical="center"/>
    </xf>
    <xf numFmtId="164" fontId="28" fillId="0" borderId="5" xfId="30" applyNumberFormat="1" applyFont="1" applyBorder="1" applyAlignment="1">
      <alignment vertical="center"/>
    </xf>
    <xf numFmtId="173" fontId="28" fillId="0" borderId="0" xfId="30" applyNumberFormat="1" applyFont="1" applyAlignment="1">
      <alignment horizontal="right" vertical="center"/>
    </xf>
    <xf numFmtId="170" fontId="28" fillId="0" borderId="0" xfId="29" applyNumberFormat="1" applyFont="1" applyBorder="1" applyAlignment="1">
      <alignment vertical="center"/>
    </xf>
    <xf numFmtId="169" fontId="9" fillId="0" borderId="0" xfId="2" applyNumberFormat="1" applyFont="1" applyBorder="1" applyAlignment="1">
      <alignment horizontal="right"/>
    </xf>
    <xf numFmtId="14" fontId="22" fillId="10" borderId="14" xfId="35" applyNumberFormat="1" applyFont="1" applyBorder="1" applyAlignment="1">
      <alignment horizontal="right"/>
    </xf>
    <xf numFmtId="14" fontId="22" fillId="5" borderId="14" xfId="35" applyNumberFormat="1" applyFont="1" applyFill="1" applyBorder="1" applyAlignment="1">
      <alignment horizontal="right"/>
    </xf>
    <xf numFmtId="10" fontId="22" fillId="10" borderId="14" xfId="35" applyNumberFormat="1" applyFont="1" applyBorder="1" applyAlignment="1">
      <alignment horizontal="right"/>
    </xf>
    <xf numFmtId="10" fontId="22" fillId="5" borderId="14" xfId="35" applyNumberFormat="1" applyFont="1" applyFill="1" applyBorder="1" applyAlignment="1">
      <alignment horizontal="right"/>
    </xf>
    <xf numFmtId="170" fontId="11" fillId="0" borderId="0" xfId="2" applyNumberFormat="1" applyFont="1" applyFill="1" applyBorder="1" applyAlignment="1">
      <alignment horizontal="center" vertical="center"/>
    </xf>
    <xf numFmtId="173" fontId="8" fillId="0" borderId="27" xfId="0" applyNumberFormat="1" applyFont="1" applyBorder="1" applyAlignment="1">
      <alignment horizontal="center" vertical="center"/>
    </xf>
    <xf numFmtId="174" fontId="28" fillId="0" borderId="28" xfId="0" applyNumberFormat="1" applyFont="1" applyBorder="1" applyAlignment="1">
      <alignment horizontal="center" vertical="center"/>
    </xf>
    <xf numFmtId="173" fontId="11" fillId="0" borderId="28" xfId="0" applyNumberFormat="1" applyFont="1" applyBorder="1" applyAlignment="1">
      <alignment horizontal="center" vertical="center"/>
    </xf>
    <xf numFmtId="173" fontId="11" fillId="0" borderId="29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74" fontId="11" fillId="0" borderId="28" xfId="0" applyNumberFormat="1" applyFont="1" applyBorder="1" applyAlignment="1">
      <alignment horizontal="center" vertical="center"/>
    </xf>
    <xf numFmtId="170" fontId="11" fillId="0" borderId="28" xfId="2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177" fontId="3" fillId="3" borderId="1" xfId="3" applyNumberFormat="1" applyAlignment="1">
      <alignment vertical="center"/>
    </xf>
    <xf numFmtId="166" fontId="9" fillId="0" borderId="0" xfId="2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164" fontId="8" fillId="0" borderId="0" xfId="1" applyNumberFormat="1" applyFont="1" applyFill="1" applyAlignment="1">
      <alignment horizontal="right"/>
    </xf>
    <xf numFmtId="0" fontId="11" fillId="0" borderId="31" xfId="0" applyFont="1" applyBorder="1" applyAlignment="1">
      <alignment vertical="center"/>
    </xf>
    <xf numFmtId="0" fontId="29" fillId="0" borderId="31" xfId="0" applyFont="1" applyBorder="1" applyAlignment="1">
      <alignment vertical="center"/>
    </xf>
    <xf numFmtId="164" fontId="11" fillId="0" borderId="31" xfId="1" applyNumberFormat="1" applyFont="1" applyFill="1" applyBorder="1" applyAlignment="1">
      <alignment horizontal="right"/>
    </xf>
    <xf numFmtId="0" fontId="1" fillId="2" borderId="0" xfId="11" applyFont="1" applyFill="1"/>
    <xf numFmtId="0" fontId="11" fillId="2" borderId="0" xfId="11" applyFill="1"/>
    <xf numFmtId="0" fontId="56" fillId="2" borderId="0" xfId="11" applyFont="1" applyFill="1" applyAlignment="1">
      <alignment horizontal="center"/>
    </xf>
    <xf numFmtId="0" fontId="11" fillId="0" borderId="0" xfId="11"/>
    <xf numFmtId="0" fontId="56" fillId="0" borderId="0" xfId="11" applyFont="1" applyAlignment="1">
      <alignment horizontal="center"/>
    </xf>
    <xf numFmtId="0" fontId="8" fillId="11" borderId="2" xfId="11" applyFont="1" applyFill="1" applyBorder="1" applyAlignment="1">
      <alignment horizontal="centerContinuous" vertical="distributed"/>
    </xf>
    <xf numFmtId="0" fontId="8" fillId="11" borderId="26" xfId="11" applyFont="1" applyFill="1" applyBorder="1" applyAlignment="1">
      <alignment horizontal="centerContinuous" vertical="distributed"/>
    </xf>
    <xf numFmtId="0" fontId="8" fillId="6" borderId="2" xfId="11" applyFont="1" applyFill="1" applyBorder="1" applyAlignment="1">
      <alignment horizontal="centerContinuous" vertical="distributed"/>
    </xf>
    <xf numFmtId="0" fontId="8" fillId="6" borderId="3" xfId="11" applyFont="1" applyFill="1" applyBorder="1" applyAlignment="1">
      <alignment horizontal="centerContinuous" vertical="distributed"/>
    </xf>
    <xf numFmtId="0" fontId="8" fillId="6" borderId="4" xfId="11" applyFont="1" applyFill="1" applyBorder="1" applyAlignment="1">
      <alignment horizontal="centerContinuous" vertical="distributed"/>
    </xf>
    <xf numFmtId="17" fontId="8" fillId="0" borderId="0" xfId="11" applyNumberFormat="1" applyFont="1" applyAlignment="1">
      <alignment horizontal="right"/>
    </xf>
    <xf numFmtId="0" fontId="8" fillId="0" borderId="0" xfId="5" applyFont="1" applyAlignment="1">
      <alignment horizontal="center"/>
    </xf>
    <xf numFmtId="0" fontId="11" fillId="0" borderId="0" xfId="5" applyFont="1"/>
    <xf numFmtId="0" fontId="56" fillId="0" borderId="0" xfId="5" applyFont="1" applyAlignment="1">
      <alignment horizontal="center"/>
    </xf>
    <xf numFmtId="188" fontId="11" fillId="0" borderId="0" xfId="11" applyNumberFormat="1"/>
    <xf numFmtId="0" fontId="57" fillId="0" borderId="0" xfId="5" applyFont="1" applyAlignment="1">
      <alignment horizontal="center"/>
    </xf>
    <xf numFmtId="0" fontId="8" fillId="0" borderId="0" xfId="5" applyFont="1"/>
    <xf numFmtId="0" fontId="58" fillId="0" borderId="0" xfId="5" applyFont="1" applyAlignment="1">
      <alignment horizontal="center"/>
    </xf>
    <xf numFmtId="188" fontId="8" fillId="0" borderId="5" xfId="11" applyNumberFormat="1" applyFont="1" applyBorder="1"/>
    <xf numFmtId="0" fontId="9" fillId="0" borderId="0" xfId="5" applyFont="1"/>
    <xf numFmtId="188" fontId="9" fillId="0" borderId="0" xfId="11" applyNumberFormat="1" applyFont="1"/>
    <xf numFmtId="170" fontId="9" fillId="0" borderId="0" xfId="2" applyNumberFormat="1" applyFont="1"/>
    <xf numFmtId="170" fontId="35" fillId="3" borderId="1" xfId="3" applyNumberFormat="1" applyFont="1"/>
    <xf numFmtId="188" fontId="11" fillId="12" borderId="0" xfId="11" applyNumberFormat="1" applyFill="1"/>
    <xf numFmtId="174" fontId="28" fillId="0" borderId="0" xfId="0" applyNumberFormat="1" applyFont="1" applyAlignment="1">
      <alignment vertical="center"/>
    </xf>
    <xf numFmtId="170" fontId="11" fillId="0" borderId="30" xfId="2" applyNumberFormat="1" applyFont="1" applyFill="1" applyBorder="1" applyAlignment="1">
      <alignment horizontal="center" vertical="center"/>
    </xf>
    <xf numFmtId="174" fontId="31" fillId="0" borderId="0" xfId="0" applyNumberFormat="1" applyFont="1" applyAlignment="1">
      <alignment horizontal="center" vertical="center"/>
    </xf>
    <xf numFmtId="0" fontId="1" fillId="2" borderId="21" xfId="0" applyFont="1" applyFill="1" applyBorder="1" applyAlignment="1">
      <alignment horizontal="center" vertical="center" textRotation="90"/>
    </xf>
    <xf numFmtId="0" fontId="1" fillId="2" borderId="23" xfId="0" applyFont="1" applyFill="1" applyBorder="1" applyAlignment="1">
      <alignment horizontal="center" vertical="center" textRotation="90"/>
    </xf>
    <xf numFmtId="182" fontId="48" fillId="0" borderId="0" xfId="23" applyFont="1" applyAlignment="1">
      <alignment horizontal="center" vertical="center" wrapText="1"/>
    </xf>
  </cellXfs>
  <cellStyles count="36">
    <cellStyle name="Comma" xfId="1" builtinId="3"/>
    <cellStyle name="Comma 2" xfId="7" xr:uid="{C8CD7981-9D45-4419-9ACC-E80714F61FB8}"/>
    <cellStyle name="Comma 3" xfId="20" xr:uid="{6DD61090-6915-4456-86AF-9C92181AA59E}"/>
    <cellStyle name="Comma 3 2" xfId="32" xr:uid="{CFC7F6B5-654C-4FD9-A200-540D8042041F}"/>
    <cellStyle name="Comma 4" xfId="34" xr:uid="{CC65FFE5-FEBD-417D-A94F-346C4A765943}"/>
    <cellStyle name="Comma 6 2" xfId="17" xr:uid="{E543A2D5-46BB-41DF-8A8B-8AF3D4F1BF06}"/>
    <cellStyle name="Currency 2 5" xfId="19" xr:uid="{20EAD7B4-161F-4EB8-A0AD-261064A5B5D4}"/>
    <cellStyle name="Currency 3 2 2" xfId="14" xr:uid="{47DFDAAF-F896-40A7-8611-6F5DADA2B35B}"/>
    <cellStyle name="Hyperlink 2" xfId="9" xr:uid="{D2430563-C42D-4B6B-A22F-FCE7FCF51480}"/>
    <cellStyle name="Hyperlink 3" xfId="33" xr:uid="{9DFAEA30-8F65-4571-8518-542BB78C1F4C}"/>
    <cellStyle name="Input" xfId="3" builtinId="20"/>
    <cellStyle name="Multiple" xfId="24" xr:uid="{66B64EE0-C1A4-45BF-ACE1-C172C2DFC135}"/>
    <cellStyle name="Normal" xfId="0" builtinId="0"/>
    <cellStyle name="Normal 16" xfId="18" xr:uid="{5E9FD5B5-574D-4C72-9B93-8578A927A8A7}"/>
    <cellStyle name="Normal 2" xfId="5" xr:uid="{F3C00E34-C60B-4CCF-BA70-11FCDD5D3909}"/>
    <cellStyle name="Normal 2 2" xfId="8" xr:uid="{631E00F1-1BBE-4E5B-8616-1CBFD26187C3}"/>
    <cellStyle name="Normal 2 2 2" xfId="10" xr:uid="{BEB0266A-5FAE-47DE-9208-B9CCF64D3136}"/>
    <cellStyle name="Normal 2 2 2 2" xfId="27" xr:uid="{24D8EAC6-ABF3-4274-A831-86A8D5D1EBD7}"/>
    <cellStyle name="Normal 2 2 3" xfId="26" xr:uid="{B3A9E2C5-0927-43AE-B421-29ED394D4816}"/>
    <cellStyle name="Normal 3" xfId="11" xr:uid="{63EE652C-9AD1-4B17-BA49-4597118CBC82}"/>
    <cellStyle name="Normal 3 2" xfId="30" xr:uid="{5D02C0AF-B846-4CB9-9160-095099FA2F84}"/>
    <cellStyle name="Normal 3 3" xfId="16" xr:uid="{FC4DE454-81EC-41E1-8FC8-E65E9D59D485}"/>
    <cellStyle name="Normal 4" xfId="12" xr:uid="{B5714C90-4A46-4082-931A-5FD9B75FBA01}"/>
    <cellStyle name="Normal 4 2" xfId="4" xr:uid="{498F100B-E176-452D-9D42-46B392A2BAA0}"/>
    <cellStyle name="Normal 5" xfId="23" xr:uid="{5D799DBD-CF34-4A56-A78F-C0B9666D0ADB}"/>
    <cellStyle name="Normal 5 2 2" xfId="13" xr:uid="{8A8ACE1E-6404-4D71-A412-FF185E11AF9B}"/>
    <cellStyle name="Normal 6" xfId="28" xr:uid="{3FD4FD91-6857-4606-A2E9-43F2FDF6A947}"/>
    <cellStyle name="Normal 7" xfId="35" xr:uid="{33FC4F8E-13C6-4132-844F-0A7CD6BCBF7E}"/>
    <cellStyle name="Per cent" xfId="2" builtinId="5"/>
    <cellStyle name="Per cent 2" xfId="6" xr:uid="{7080C179-0CFF-43A7-8EB6-5FDD7B250B93}"/>
    <cellStyle name="Per cent 2 2" xfId="29" xr:uid="{ED1EC7F4-F13E-4F95-BC3C-AA8CD79D1267}"/>
    <cellStyle name="Per cent 3" xfId="21" xr:uid="{3DB4EF00-88E6-4CC4-BCF4-0EBEA137554E}"/>
    <cellStyle name="Per cent 4" xfId="25" xr:uid="{8F06674E-A0EC-43B6-BE3E-F89B9F2B754E}"/>
    <cellStyle name="Per cent 5" xfId="31" xr:uid="{66AD8CF2-E9BF-4CD9-A9D1-D8788E3618F2}"/>
    <cellStyle name="Percent 5 2" xfId="15" xr:uid="{73EED5C3-7B2C-4CFB-A3F1-FE138CBD7E83}"/>
    <cellStyle name="Title 2" xfId="22" xr:uid="{79CD40CE-F10B-4DEF-BE33-F9951052243A}"/>
  </cellStyles>
  <dxfs count="3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FF4FD"/>
      <color rgb="FFFFF3E7"/>
      <color rgb="FFFFE8D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7F-4F6D-B04A-E69ADD3D8D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7F-4F6D-B04A-E69ADD3D8D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'1PageOutput'!$B$41:$B$42</c:f>
              <c:strCache>
                <c:ptCount val="2"/>
                <c:pt idx="0">
                  <c:v>Founders/management</c:v>
                </c:pt>
                <c:pt idx="1">
                  <c:v>Financial sponsor</c:v>
                </c:pt>
              </c:strCache>
            </c:strRef>
          </c:cat>
          <c:val>
            <c:numRef>
              <c:f>'1PageOutput'!$C$41:$C$42</c:f>
              <c:numCache>
                <c:formatCode>#,##0%;\(#,##0%\);\-\-</c:formatCode>
                <c:ptCount val="2"/>
                <c:pt idx="0">
                  <c:v>1.4999999999999998E-3</c:v>
                </c:pt>
                <c:pt idx="1">
                  <c:v>0.99849999999999994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7F-4F6D-B04A-E69ADD3D8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'1PageOutput'!$B$31</c:f>
              <c:strCache>
                <c:ptCount val="1"/>
                <c:pt idx="0">
                  <c:v>Equity consideration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\£#,##0.0&quot;m&quot;;&quot;&quot;;&quot;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none" lIns="0" tIns="0" rIns="0" bIns="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8CCF-4F34-BF01-033154CC824D}"/>
                </c:ext>
              </c:extLst>
            </c:dLbl>
            <c:numFmt formatCode="\£#,##0.0,&quot;m&quot;;&quot;&quot;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'1PageOutput'!$C$31</c:f>
              <c:numCache>
                <c:formatCode>"£"#,##0.0"m";\("£"#,##0.0"m"\);\-\-</c:formatCode>
                <c:ptCount val="1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F-4F34-BF01-033154CC824D}"/>
            </c:ext>
          </c:extLst>
        </c:ser>
        <c:ser>
          <c:idx val="1"/>
          <c:order val="1"/>
          <c:tx>
            <c:strRef>
              <c:f>'1PageOutput'!$B$32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\£#,##0.0,&quot;m&quot;;&quot;&quot;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'1PageOutput'!$C$32</c:f>
              <c:numCache>
                <c:formatCode>"£"#,##0.0"m";\("£"#,##0.0"m"\);\-\-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F-4F34-BF01-033154CC824D}"/>
            </c:ext>
          </c:extLst>
        </c:ser>
        <c:ser>
          <c:idx val="2"/>
          <c:order val="2"/>
          <c:tx>
            <c:strRef>
              <c:f>'1PageOutput'!$B$33</c:f>
              <c:strCache>
                <c:ptCount val="1"/>
                <c:pt idx="0">
                  <c:v>Transaction fees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\£#,##0.0&quot;m&quot;;&quot;&quot;;&quot;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0" tIns="0" rIns="0" bIns="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8CCF-4F34-BF01-033154CC824D}"/>
                </c:ext>
              </c:extLst>
            </c:dLbl>
            <c:numFmt formatCode="\£#,##0.0,&quot;m&quot;;&quot;&quot;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0" tIns="0" rIns="0" bIns="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'1PageOutput'!$C$33</c:f>
              <c:numCache>
                <c:formatCode>"£"#,##0.0"m";\("£"#,##0.0"m"\);\-\-</c:formatCode>
                <c:ptCount val="1"/>
                <c:pt idx="0">
                  <c:v>2.9084586212886503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F-4F34-BF01-033154CC8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32930872"/>
        <c:axId val="732924992"/>
      </c:barChart>
      <c:catAx>
        <c:axId val="732930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2924992"/>
        <c:crosses val="autoZero"/>
        <c:auto val="1"/>
        <c:lblAlgn val="ctr"/>
        <c:lblOffset val="100"/>
        <c:noMultiLvlLbl val="0"/>
      </c:catAx>
      <c:valAx>
        <c:axId val="732924992"/>
        <c:scaling>
          <c:orientation val="minMax"/>
          <c:min val="0"/>
        </c:scaling>
        <c:delete val="0"/>
        <c:axPos val="l"/>
        <c:numFmt formatCode="0%" sourceLinked="1"/>
        <c:majorTickMark val="out"/>
        <c:minorTickMark val="none"/>
        <c:tickLblPos val="none"/>
        <c:crossAx val="732930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'1PageOutput'!$B$36</c:f>
              <c:strCache>
                <c:ptCount val="1"/>
                <c:pt idx="0">
                  <c:v>New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£#,##0.0&quot;m&quot;;&quot;&quot;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'1PageOutput'!$C$36</c:f>
              <c:numCache>
                <c:formatCode>"£"#,##0.0"m";\("£"#,##0.0"m"\);\-\-</c:formatCode>
                <c:ptCount val="1"/>
                <c:pt idx="0">
                  <c:v>77.228533709575558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F-45CF-9A6A-D5092A076F0F}"/>
            </c:ext>
          </c:extLst>
        </c:ser>
        <c:ser>
          <c:idx val="3"/>
          <c:order val="1"/>
          <c:tx>
            <c:strRef>
              <c:f>'1PageOutput'!$B$38</c:f>
              <c:strCache>
                <c:ptCount val="1"/>
              </c:strCache>
            </c:strRef>
          </c:tx>
          <c:invertIfNegative val="0"/>
          <c:dLbls>
            <c:dLbl>
              <c:idx val="0"/>
              <c:layout>
                <c:manualLayout>
                  <c:x val="-2.4509520785493033E-17"/>
                  <c:y val="-2.4808773903262091E-3"/>
                </c:manualLayout>
              </c:layout>
              <c:numFmt formatCode="\£#,##0.0,&quot;m&quot;;&quot;&quot;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9843867110194116"/>
                      <c:h val="0.208922384701912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EEF-45CF-9A6A-D5092A076F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no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'1PageOutput'!$C$38</c:f>
              <c:numCache>
                <c:formatCode>"£"#,##0.0"m";\("£"#,##0.0"m"\);\-\-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F-45CF-9A6A-D5092A076F0F}"/>
            </c:ext>
          </c:extLst>
        </c:ser>
        <c:ser>
          <c:idx val="2"/>
          <c:order val="2"/>
          <c:tx>
            <c:strRef>
              <c:f>'1PageOutput'!$B$37</c:f>
              <c:strCache>
                <c:ptCount val="1"/>
              </c:strCache>
            </c:strRef>
          </c:tx>
          <c:invertIfNegative val="0"/>
          <c:dLbls>
            <c:numFmt formatCode="\£#,##0.0,&quot;m&quot;;&quot;&quot;;&quot;&quot;" sourceLinked="0"/>
            <c:spPr>
              <a:noFill/>
              <a:ln>
                <a:noFill/>
              </a:ln>
              <a:effectLst/>
            </c:spPr>
            <c:txPr>
              <a:bodyPr wrap="non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'1PageOutput'!$C$37</c:f>
              <c:numCache>
                <c:formatCode>"£"#,##0.0"m";\("£"#,##0.0"m"\);\-\-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F-45CF-9A6A-D5092A076F0F}"/>
            </c:ext>
          </c:extLst>
        </c:ser>
        <c:ser>
          <c:idx val="1"/>
          <c:order val="3"/>
          <c:tx>
            <c:strRef>
              <c:f>'1PageOutput'!$B$39</c:f>
              <c:strCache>
                <c:ptCount val="1"/>
                <c:pt idx="0">
                  <c:v>External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\£#,##0.0&quot;m&quot;;&quot;&quot;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'1PageOutput'!$C$39</c:f>
              <c:numCache>
                <c:formatCode>"£"#,##0.0"m";\("£"#,##0.0"m"\);\-\-</c:formatCode>
                <c:ptCount val="1"/>
                <c:pt idx="0">
                  <c:v>60.563908085910008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EF-45CF-9A6A-D5092A076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32925384"/>
        <c:axId val="732925776"/>
      </c:barChart>
      <c:catAx>
        <c:axId val="732925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2925776"/>
        <c:crosses val="autoZero"/>
        <c:auto val="1"/>
        <c:lblAlgn val="ctr"/>
        <c:lblOffset val="100"/>
        <c:noMultiLvlLbl val="0"/>
      </c:catAx>
      <c:valAx>
        <c:axId val="732925776"/>
        <c:scaling>
          <c:orientation val="minMax"/>
          <c:min val="0"/>
        </c:scaling>
        <c:delete val="0"/>
        <c:axPos val="l"/>
        <c:numFmt formatCode="0%" sourceLinked="1"/>
        <c:majorTickMark val="out"/>
        <c:minorTickMark val="none"/>
        <c:tickLblPos val="none"/>
        <c:crossAx val="732925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53639331668907E-2"/>
          <c:y val="0.15141892633195772"/>
          <c:w val="0.87769165439685892"/>
          <c:h val="0.74612029605624053"/>
        </c:manualLayout>
      </c:layout>
      <c:lineChart>
        <c:grouping val="standard"/>
        <c:varyColors val="0"/>
        <c:ser>
          <c:idx val="4"/>
          <c:order val="0"/>
          <c:tx>
            <c:strRef>
              <c:f>GBPSONIA!$C$9:$C$10</c:f>
              <c:strCache>
                <c:ptCount val="2"/>
                <c:pt idx="0">
                  <c:v>3 Month Compounded</c:v>
                </c:pt>
                <c:pt idx="1">
                  <c:v>3.79%</c:v>
                </c:pt>
              </c:strCache>
            </c:strRef>
          </c:tx>
          <c:spPr>
            <a:ln w="317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GBPSONIA!$B$11:$B$130</c:f>
              <c:numCache>
                <c:formatCode>m/d/yyyy</c:formatCode>
                <c:ptCount val="120"/>
                <c:pt idx="0">
                  <c:v>46160</c:v>
                </c:pt>
                <c:pt idx="1">
                  <c:v>46189</c:v>
                </c:pt>
                <c:pt idx="2">
                  <c:v>46219</c:v>
                </c:pt>
                <c:pt idx="3">
                  <c:v>46251</c:v>
                </c:pt>
                <c:pt idx="4">
                  <c:v>46281</c:v>
                </c:pt>
                <c:pt idx="5">
                  <c:v>46311</c:v>
                </c:pt>
                <c:pt idx="6">
                  <c:v>46342</c:v>
                </c:pt>
                <c:pt idx="7">
                  <c:v>46372</c:v>
                </c:pt>
                <c:pt idx="8">
                  <c:v>46405</c:v>
                </c:pt>
                <c:pt idx="9">
                  <c:v>46434</c:v>
                </c:pt>
                <c:pt idx="10">
                  <c:v>46462</c:v>
                </c:pt>
                <c:pt idx="11">
                  <c:v>46493</c:v>
                </c:pt>
                <c:pt idx="12">
                  <c:v>46524</c:v>
                </c:pt>
                <c:pt idx="13">
                  <c:v>46554</c:v>
                </c:pt>
                <c:pt idx="14">
                  <c:v>46584</c:v>
                </c:pt>
                <c:pt idx="15">
                  <c:v>46615</c:v>
                </c:pt>
                <c:pt idx="16">
                  <c:v>46646</c:v>
                </c:pt>
                <c:pt idx="17">
                  <c:v>46678</c:v>
                </c:pt>
                <c:pt idx="18">
                  <c:v>46707</c:v>
                </c:pt>
                <c:pt idx="19">
                  <c:v>46737</c:v>
                </c:pt>
                <c:pt idx="20">
                  <c:v>46769</c:v>
                </c:pt>
                <c:pt idx="21">
                  <c:v>46799</c:v>
                </c:pt>
                <c:pt idx="22">
                  <c:v>46828</c:v>
                </c:pt>
                <c:pt idx="23">
                  <c:v>46861</c:v>
                </c:pt>
                <c:pt idx="24">
                  <c:v>46889</c:v>
                </c:pt>
                <c:pt idx="25">
                  <c:v>46920</c:v>
                </c:pt>
                <c:pt idx="26">
                  <c:v>46951</c:v>
                </c:pt>
                <c:pt idx="27">
                  <c:v>46981</c:v>
                </c:pt>
                <c:pt idx="28">
                  <c:v>47014</c:v>
                </c:pt>
                <c:pt idx="29">
                  <c:v>47042</c:v>
                </c:pt>
                <c:pt idx="30">
                  <c:v>47073</c:v>
                </c:pt>
                <c:pt idx="31">
                  <c:v>47105</c:v>
                </c:pt>
                <c:pt idx="32">
                  <c:v>47134</c:v>
                </c:pt>
                <c:pt idx="33">
                  <c:v>47165</c:v>
                </c:pt>
                <c:pt idx="34">
                  <c:v>47193</c:v>
                </c:pt>
                <c:pt idx="35">
                  <c:v>47224</c:v>
                </c:pt>
                <c:pt idx="36">
                  <c:v>47254</c:v>
                </c:pt>
                <c:pt idx="37">
                  <c:v>47287</c:v>
                </c:pt>
                <c:pt idx="38">
                  <c:v>47315</c:v>
                </c:pt>
                <c:pt idx="39">
                  <c:v>47346</c:v>
                </c:pt>
                <c:pt idx="40">
                  <c:v>47378</c:v>
                </c:pt>
                <c:pt idx="41">
                  <c:v>47407</c:v>
                </c:pt>
                <c:pt idx="42">
                  <c:v>47438</c:v>
                </c:pt>
                <c:pt idx="43">
                  <c:v>47469</c:v>
                </c:pt>
                <c:pt idx="44">
                  <c:v>47499</c:v>
                </c:pt>
                <c:pt idx="45">
                  <c:v>47532</c:v>
                </c:pt>
                <c:pt idx="46">
                  <c:v>47560</c:v>
                </c:pt>
                <c:pt idx="47">
                  <c:v>47589</c:v>
                </c:pt>
                <c:pt idx="48">
                  <c:v>47619</c:v>
                </c:pt>
                <c:pt idx="49">
                  <c:v>47651</c:v>
                </c:pt>
                <c:pt idx="50">
                  <c:v>47680</c:v>
                </c:pt>
                <c:pt idx="51">
                  <c:v>47711</c:v>
                </c:pt>
                <c:pt idx="52">
                  <c:v>47742</c:v>
                </c:pt>
                <c:pt idx="53">
                  <c:v>47772</c:v>
                </c:pt>
                <c:pt idx="54">
                  <c:v>47805</c:v>
                </c:pt>
                <c:pt idx="55">
                  <c:v>47833</c:v>
                </c:pt>
                <c:pt idx="56">
                  <c:v>47864</c:v>
                </c:pt>
                <c:pt idx="57">
                  <c:v>47896</c:v>
                </c:pt>
                <c:pt idx="58">
                  <c:v>47924</c:v>
                </c:pt>
                <c:pt idx="59">
                  <c:v>47954</c:v>
                </c:pt>
                <c:pt idx="60">
                  <c:v>47984</c:v>
                </c:pt>
                <c:pt idx="61">
                  <c:v>48015</c:v>
                </c:pt>
                <c:pt idx="62">
                  <c:v>48045</c:v>
                </c:pt>
                <c:pt idx="63">
                  <c:v>48078</c:v>
                </c:pt>
                <c:pt idx="64">
                  <c:v>48107</c:v>
                </c:pt>
                <c:pt idx="65">
                  <c:v>48137</c:v>
                </c:pt>
                <c:pt idx="66">
                  <c:v>48169</c:v>
                </c:pt>
                <c:pt idx="67">
                  <c:v>48198</c:v>
                </c:pt>
                <c:pt idx="68">
                  <c:v>48229</c:v>
                </c:pt>
                <c:pt idx="69">
                  <c:v>48260</c:v>
                </c:pt>
                <c:pt idx="70">
                  <c:v>48289</c:v>
                </c:pt>
                <c:pt idx="71">
                  <c:v>48320</c:v>
                </c:pt>
                <c:pt idx="72">
                  <c:v>48351</c:v>
                </c:pt>
                <c:pt idx="73">
                  <c:v>48381</c:v>
                </c:pt>
                <c:pt idx="74">
                  <c:v>48411</c:v>
                </c:pt>
                <c:pt idx="75">
                  <c:v>48442</c:v>
                </c:pt>
                <c:pt idx="76">
                  <c:v>48473</c:v>
                </c:pt>
                <c:pt idx="77">
                  <c:v>48505</c:v>
                </c:pt>
                <c:pt idx="78">
                  <c:v>48534</c:v>
                </c:pt>
                <c:pt idx="79">
                  <c:v>48564</c:v>
                </c:pt>
                <c:pt idx="80">
                  <c:v>48596</c:v>
                </c:pt>
                <c:pt idx="81">
                  <c:v>48626</c:v>
                </c:pt>
                <c:pt idx="82">
                  <c:v>48654</c:v>
                </c:pt>
                <c:pt idx="83">
                  <c:v>48688</c:v>
                </c:pt>
                <c:pt idx="84">
                  <c:v>48715</c:v>
                </c:pt>
                <c:pt idx="85">
                  <c:v>48746</c:v>
                </c:pt>
                <c:pt idx="86">
                  <c:v>48778</c:v>
                </c:pt>
                <c:pt idx="87">
                  <c:v>48807</c:v>
                </c:pt>
                <c:pt idx="88">
                  <c:v>48838</c:v>
                </c:pt>
                <c:pt idx="89">
                  <c:v>48869</c:v>
                </c:pt>
                <c:pt idx="90">
                  <c:v>48899</c:v>
                </c:pt>
                <c:pt idx="91">
                  <c:v>48929</c:v>
                </c:pt>
                <c:pt idx="92">
                  <c:v>48960</c:v>
                </c:pt>
                <c:pt idx="93">
                  <c:v>48991</c:v>
                </c:pt>
                <c:pt idx="94">
                  <c:v>49019</c:v>
                </c:pt>
                <c:pt idx="95">
                  <c:v>49051</c:v>
                </c:pt>
                <c:pt idx="96">
                  <c:v>49080</c:v>
                </c:pt>
                <c:pt idx="97">
                  <c:v>49111</c:v>
                </c:pt>
                <c:pt idx="98">
                  <c:v>49142</c:v>
                </c:pt>
                <c:pt idx="99">
                  <c:v>49172</c:v>
                </c:pt>
                <c:pt idx="100">
                  <c:v>49205</c:v>
                </c:pt>
                <c:pt idx="101">
                  <c:v>49233</c:v>
                </c:pt>
                <c:pt idx="102">
                  <c:v>49264</c:v>
                </c:pt>
                <c:pt idx="103">
                  <c:v>49296</c:v>
                </c:pt>
                <c:pt idx="104">
                  <c:v>49325</c:v>
                </c:pt>
                <c:pt idx="105">
                  <c:v>49356</c:v>
                </c:pt>
                <c:pt idx="106">
                  <c:v>49384</c:v>
                </c:pt>
                <c:pt idx="107">
                  <c:v>49415</c:v>
                </c:pt>
                <c:pt idx="108">
                  <c:v>49445</c:v>
                </c:pt>
                <c:pt idx="109">
                  <c:v>49478</c:v>
                </c:pt>
                <c:pt idx="110">
                  <c:v>49506</c:v>
                </c:pt>
                <c:pt idx="111">
                  <c:v>49537</c:v>
                </c:pt>
                <c:pt idx="112">
                  <c:v>49569</c:v>
                </c:pt>
                <c:pt idx="113">
                  <c:v>49598</c:v>
                </c:pt>
                <c:pt idx="114">
                  <c:v>49629</c:v>
                </c:pt>
                <c:pt idx="115">
                  <c:v>49660</c:v>
                </c:pt>
                <c:pt idx="116">
                  <c:v>49690</c:v>
                </c:pt>
                <c:pt idx="117">
                  <c:v>49723</c:v>
                </c:pt>
                <c:pt idx="118">
                  <c:v>49751</c:v>
                </c:pt>
                <c:pt idx="119">
                  <c:v>49781</c:v>
                </c:pt>
              </c:numCache>
            </c:numRef>
          </c:cat>
          <c:val>
            <c:numRef>
              <c:f>GBPSONIA!$C$11:$C$130</c:f>
              <c:numCache>
                <c:formatCode>0.00%</c:formatCode>
                <c:ptCount val="120"/>
                <c:pt idx="0">
                  <c:v>3.8539799999999999E-2</c:v>
                </c:pt>
                <c:pt idx="1">
                  <c:v>3.9203799999999997E-2</c:v>
                </c:pt>
                <c:pt idx="2">
                  <c:v>3.9777199999999999E-2</c:v>
                </c:pt>
                <c:pt idx="3">
                  <c:v>4.0259299999999998E-2</c:v>
                </c:pt>
                <c:pt idx="4">
                  <c:v>4.0624199999999999E-2</c:v>
                </c:pt>
                <c:pt idx="5">
                  <c:v>4.0906600000000001E-2</c:v>
                </c:pt>
                <c:pt idx="6">
                  <c:v>4.1050499999999997E-2</c:v>
                </c:pt>
                <c:pt idx="7">
                  <c:v>4.1088899999999998E-2</c:v>
                </c:pt>
                <c:pt idx="8">
                  <c:v>4.10482E-2</c:v>
                </c:pt>
                <c:pt idx="9">
                  <c:v>4.0954200000000003E-2</c:v>
                </c:pt>
                <c:pt idx="10">
                  <c:v>4.0833000000000001E-2</c:v>
                </c:pt>
                <c:pt idx="11">
                  <c:v>4.0682700000000002E-2</c:v>
                </c:pt>
                <c:pt idx="12">
                  <c:v>4.0534800000000003E-2</c:v>
                </c:pt>
                <c:pt idx="13">
                  <c:v>4.0399900000000002E-2</c:v>
                </c:pt>
                <c:pt idx="14">
                  <c:v>4.0273000000000003E-2</c:v>
                </c:pt>
                <c:pt idx="15">
                  <c:v>4.0148900000000001E-2</c:v>
                </c:pt>
                <c:pt idx="16">
                  <c:v>4.0032400000000003E-2</c:v>
                </c:pt>
                <c:pt idx="17">
                  <c:v>3.9922800000000001E-2</c:v>
                </c:pt>
                <c:pt idx="18">
                  <c:v>3.98296E-2</c:v>
                </c:pt>
                <c:pt idx="19">
                  <c:v>3.9739799999999999E-2</c:v>
                </c:pt>
                <c:pt idx="20">
                  <c:v>3.9652899999999998E-2</c:v>
                </c:pt>
                <c:pt idx="21">
                  <c:v>3.9578000000000002E-2</c:v>
                </c:pt>
                <c:pt idx="22">
                  <c:v>3.9517200000000002E-2</c:v>
                </c:pt>
                <c:pt idx="23">
                  <c:v>3.94551E-2</c:v>
                </c:pt>
                <c:pt idx="24">
                  <c:v>3.9414200000000003E-2</c:v>
                </c:pt>
                <c:pt idx="25">
                  <c:v>3.9382300000000002E-2</c:v>
                </c:pt>
                <c:pt idx="26">
                  <c:v>3.93552E-2</c:v>
                </c:pt>
                <c:pt idx="27">
                  <c:v>3.9343400000000001E-2</c:v>
                </c:pt>
                <c:pt idx="28">
                  <c:v>3.9340699999999999E-2</c:v>
                </c:pt>
                <c:pt idx="29">
                  <c:v>3.9352100000000001E-2</c:v>
                </c:pt>
                <c:pt idx="30">
                  <c:v>3.9374100000000002E-2</c:v>
                </c:pt>
                <c:pt idx="31">
                  <c:v>3.9406099999999999E-2</c:v>
                </c:pt>
                <c:pt idx="32">
                  <c:v>3.9445000000000001E-2</c:v>
                </c:pt>
                <c:pt idx="33">
                  <c:v>3.94971E-2</c:v>
                </c:pt>
                <c:pt idx="34">
                  <c:v>3.9571799999999997E-2</c:v>
                </c:pt>
                <c:pt idx="35">
                  <c:v>3.9634799999999998E-2</c:v>
                </c:pt>
                <c:pt idx="36">
                  <c:v>3.9712699999999997E-2</c:v>
                </c:pt>
                <c:pt idx="37">
                  <c:v>3.9798500000000001E-2</c:v>
                </c:pt>
                <c:pt idx="38">
                  <c:v>3.9874800000000002E-2</c:v>
                </c:pt>
                <c:pt idx="39">
                  <c:v>3.9962999999999999E-2</c:v>
                </c:pt>
                <c:pt idx="40">
                  <c:v>4.0055100000000003E-2</c:v>
                </c:pt>
                <c:pt idx="41">
                  <c:v>4.0147099999999998E-2</c:v>
                </c:pt>
                <c:pt idx="42">
                  <c:v>4.0254900000000003E-2</c:v>
                </c:pt>
                <c:pt idx="43">
                  <c:v>4.0347000000000001E-2</c:v>
                </c:pt>
                <c:pt idx="44">
                  <c:v>4.0448900000000003E-2</c:v>
                </c:pt>
                <c:pt idx="45">
                  <c:v>4.0569399999999999E-2</c:v>
                </c:pt>
                <c:pt idx="46">
                  <c:v>4.0676400000000001E-2</c:v>
                </c:pt>
                <c:pt idx="47">
                  <c:v>4.0780999999999998E-2</c:v>
                </c:pt>
                <c:pt idx="48">
                  <c:v>4.0901E-2</c:v>
                </c:pt>
                <c:pt idx="49">
                  <c:v>4.1022700000000002E-2</c:v>
                </c:pt>
                <c:pt idx="50">
                  <c:v>4.1133500000000003E-2</c:v>
                </c:pt>
                <c:pt idx="51">
                  <c:v>4.1261199999999998E-2</c:v>
                </c:pt>
                <c:pt idx="52">
                  <c:v>4.13689E-2</c:v>
                </c:pt>
                <c:pt idx="53">
                  <c:v>4.1487900000000001E-2</c:v>
                </c:pt>
                <c:pt idx="54">
                  <c:v>4.1616800000000002E-2</c:v>
                </c:pt>
                <c:pt idx="55">
                  <c:v>4.1722299999999997E-2</c:v>
                </c:pt>
                <c:pt idx="56">
                  <c:v>4.1841099999999999E-2</c:v>
                </c:pt>
                <c:pt idx="57">
                  <c:v>4.1970899999999998E-2</c:v>
                </c:pt>
                <c:pt idx="58">
                  <c:v>4.2086499999999999E-2</c:v>
                </c:pt>
                <c:pt idx="59">
                  <c:v>4.22038E-2</c:v>
                </c:pt>
                <c:pt idx="60">
                  <c:v>4.2340700000000002E-2</c:v>
                </c:pt>
                <c:pt idx="61">
                  <c:v>4.2458999999999997E-2</c:v>
                </c:pt>
                <c:pt idx="62">
                  <c:v>4.2583500000000003E-2</c:v>
                </c:pt>
                <c:pt idx="63">
                  <c:v>4.27219E-2</c:v>
                </c:pt>
                <c:pt idx="64">
                  <c:v>4.2840900000000001E-2</c:v>
                </c:pt>
                <c:pt idx="65">
                  <c:v>4.29714E-2</c:v>
                </c:pt>
                <c:pt idx="66">
                  <c:v>4.3109599999999998E-2</c:v>
                </c:pt>
                <c:pt idx="67">
                  <c:v>4.32313E-2</c:v>
                </c:pt>
                <c:pt idx="68">
                  <c:v>4.3368299999999999E-2</c:v>
                </c:pt>
                <c:pt idx="69">
                  <c:v>4.3505200000000001E-2</c:v>
                </c:pt>
                <c:pt idx="70">
                  <c:v>4.3639400000000002E-2</c:v>
                </c:pt>
                <c:pt idx="71">
                  <c:v>4.3776700000000002E-2</c:v>
                </c:pt>
                <c:pt idx="72">
                  <c:v>4.3924199999999997E-2</c:v>
                </c:pt>
                <c:pt idx="73">
                  <c:v>4.40626E-2</c:v>
                </c:pt>
                <c:pt idx="74">
                  <c:v>4.42122E-2</c:v>
                </c:pt>
                <c:pt idx="75">
                  <c:v>4.43478E-2</c:v>
                </c:pt>
                <c:pt idx="76">
                  <c:v>4.4490500000000002E-2</c:v>
                </c:pt>
                <c:pt idx="77">
                  <c:v>4.4645900000000002E-2</c:v>
                </c:pt>
                <c:pt idx="78">
                  <c:v>4.4785800000000001E-2</c:v>
                </c:pt>
                <c:pt idx="79">
                  <c:v>4.4921299999999997E-2</c:v>
                </c:pt>
                <c:pt idx="80">
                  <c:v>4.5090400000000003E-2</c:v>
                </c:pt>
                <c:pt idx="81">
                  <c:v>4.5220999999999997E-2</c:v>
                </c:pt>
                <c:pt idx="82">
                  <c:v>4.5374900000000003E-2</c:v>
                </c:pt>
                <c:pt idx="83">
                  <c:v>4.5538700000000001E-2</c:v>
                </c:pt>
                <c:pt idx="84">
                  <c:v>4.5677799999999998E-2</c:v>
                </c:pt>
                <c:pt idx="85">
                  <c:v>4.5827600000000003E-2</c:v>
                </c:pt>
                <c:pt idx="86">
                  <c:v>4.5980300000000002E-2</c:v>
                </c:pt>
                <c:pt idx="87">
                  <c:v>4.6117100000000001E-2</c:v>
                </c:pt>
                <c:pt idx="88">
                  <c:v>4.6257100000000002E-2</c:v>
                </c:pt>
                <c:pt idx="89">
                  <c:v>4.64023E-2</c:v>
                </c:pt>
                <c:pt idx="90">
                  <c:v>4.6538499999999997E-2</c:v>
                </c:pt>
                <c:pt idx="91">
                  <c:v>4.6662599999999999E-2</c:v>
                </c:pt>
                <c:pt idx="92">
                  <c:v>4.6805699999999999E-2</c:v>
                </c:pt>
                <c:pt idx="93">
                  <c:v>4.6929899999999997E-2</c:v>
                </c:pt>
                <c:pt idx="94">
                  <c:v>4.70654E-2</c:v>
                </c:pt>
                <c:pt idx="95">
                  <c:v>4.7198400000000001E-2</c:v>
                </c:pt>
                <c:pt idx="96">
                  <c:v>4.7326100000000003E-2</c:v>
                </c:pt>
                <c:pt idx="97">
                  <c:v>4.7464600000000003E-2</c:v>
                </c:pt>
                <c:pt idx="98">
                  <c:v>4.7580900000000002E-2</c:v>
                </c:pt>
                <c:pt idx="99">
                  <c:v>4.7701599999999997E-2</c:v>
                </c:pt>
                <c:pt idx="100">
                  <c:v>4.7828099999999998E-2</c:v>
                </c:pt>
                <c:pt idx="101">
                  <c:v>4.7940099999999999E-2</c:v>
                </c:pt>
                <c:pt idx="102">
                  <c:v>4.8059400000000002E-2</c:v>
                </c:pt>
                <c:pt idx="103">
                  <c:v>4.8175599999999999E-2</c:v>
                </c:pt>
                <c:pt idx="104">
                  <c:v>4.8279299999999997E-2</c:v>
                </c:pt>
                <c:pt idx="105">
                  <c:v>4.83875E-2</c:v>
                </c:pt>
                <c:pt idx="106">
                  <c:v>4.8513199999999999E-2</c:v>
                </c:pt>
                <c:pt idx="107">
                  <c:v>4.8610300000000002E-2</c:v>
                </c:pt>
                <c:pt idx="108">
                  <c:v>4.8721199999999999E-2</c:v>
                </c:pt>
                <c:pt idx="109">
                  <c:v>4.8834799999999998E-2</c:v>
                </c:pt>
                <c:pt idx="110">
                  <c:v>4.8929599999999997E-2</c:v>
                </c:pt>
                <c:pt idx="111">
                  <c:v>4.9032800000000001E-2</c:v>
                </c:pt>
                <c:pt idx="112">
                  <c:v>4.9133299999999998E-2</c:v>
                </c:pt>
                <c:pt idx="113">
                  <c:v>4.9229599999999998E-2</c:v>
                </c:pt>
                <c:pt idx="114">
                  <c:v>4.9337100000000002E-2</c:v>
                </c:pt>
                <c:pt idx="115">
                  <c:v>4.9418400000000001E-2</c:v>
                </c:pt>
                <c:pt idx="116">
                  <c:v>4.9510199999999997E-2</c:v>
                </c:pt>
                <c:pt idx="117">
                  <c:v>4.96073E-2</c:v>
                </c:pt>
                <c:pt idx="118">
                  <c:v>4.9693500000000002E-2</c:v>
                </c:pt>
                <c:pt idx="119">
                  <c:v>4.9776300000000002E-2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F-4250-AB6D-925EAA78B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188160"/>
        <c:axId val="356189696"/>
      </c:lineChart>
      <c:dateAx>
        <c:axId val="35618816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txPr>
          <a:bodyPr rot="-27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6189696"/>
        <c:crosses val="autoZero"/>
        <c:auto val="1"/>
        <c:lblOffset val="100"/>
        <c:baseTimeUnit val="months"/>
      </c:dateAx>
      <c:valAx>
        <c:axId val="356189696"/>
        <c:scaling>
          <c:orientation val="minMax"/>
          <c:min val="3.0000000000000006E-2"/>
        </c:scaling>
        <c:delete val="0"/>
        <c:axPos val="l"/>
        <c:majorGridlines>
          <c:spPr>
            <a:ln>
              <a:solidFill>
                <a:schemeClr val="accent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6188160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rgbClr val="F1F1F1"/>
    </a:solidFill>
    <a:ln w="3175">
      <a:solidFill>
        <a:srgbClr val="E3E3E3"/>
      </a:solidFill>
    </a:ln>
  </c:spPr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325119</xdr:colOff>
      <xdr:row>7</xdr:row>
      <xdr:rowOff>0</xdr:rowOff>
    </xdr:from>
    <xdr:to>
      <xdr:col>7</xdr:col>
      <xdr:colOff>1176654</xdr:colOff>
      <xdr:row>21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7659C1-ECA4-41DA-A9B8-62A6BFB6B116}"/>
            </a:ext>
          </a:extLst>
        </xdr:cNvPr>
        <xdr:cNvSpPr/>
      </xdr:nvSpPr>
      <xdr:spPr>
        <a:xfrm>
          <a:off x="5514339" y="1318260"/>
          <a:ext cx="1179195" cy="2667000"/>
        </a:xfrm>
        <a:prstGeom prst="rect">
          <a:avLst/>
        </a:prstGeom>
        <a:solidFill>
          <a:schemeClr val="accent1">
            <a:alpha val="1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6</xdr:col>
      <xdr:colOff>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A82C64-AA34-4277-8EB0-E4AC40ADD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</xdr:row>
      <xdr:rowOff>0</xdr:rowOff>
    </xdr:from>
    <xdr:to>
      <xdr:col>2</xdr:col>
      <xdr:colOff>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271624-3D99-4C57-9035-1F1761205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6C4D5A-E077-4CE9-AF5D-6BEC8A414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639598</xdr:colOff>
      <xdr:row>20</xdr:row>
      <xdr:rowOff>182836</xdr:rowOff>
    </xdr:from>
    <xdr:to>
      <xdr:col>5</xdr:col>
      <xdr:colOff>944398</xdr:colOff>
      <xdr:row>21</xdr:row>
      <xdr:rowOff>6350</xdr:rowOff>
    </xdr:to>
    <xdr:cxnSp macro="">
      <xdr:nvCxnSpPr>
        <xdr:cNvPr id="6" name="Elbow Connector 8">
          <a:extLst>
            <a:ext uri="{FF2B5EF4-FFF2-40B4-BE49-F238E27FC236}">
              <a16:creationId xmlns:a16="http://schemas.microsoft.com/office/drawing/2014/main" id="{EB4E5513-8414-420B-88D4-52D737B2C388}"/>
            </a:ext>
          </a:extLst>
        </xdr:cNvPr>
        <xdr:cNvCxnSpPr>
          <a:stCxn id="4" idx="2"/>
          <a:endCxn id="3" idx="2"/>
        </xdr:cNvCxnSpPr>
      </xdr:nvCxnSpPr>
      <xdr:spPr>
        <a:xfrm rot="16200000" flipH="1">
          <a:off x="2451866" y="2313918"/>
          <a:ext cx="14014" cy="3371850"/>
        </a:xfrm>
        <a:prstGeom prst="bentConnector3">
          <a:avLst>
            <a:gd name="adj1" fmla="val 18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639597</xdr:colOff>
      <xdr:row>20</xdr:row>
      <xdr:rowOff>182836</xdr:rowOff>
    </xdr:from>
    <xdr:to>
      <xdr:col>3</xdr:col>
      <xdr:colOff>639597</xdr:colOff>
      <xdr:row>21</xdr:row>
      <xdr:rowOff>6350</xdr:rowOff>
    </xdr:to>
    <xdr:cxnSp macro="">
      <xdr:nvCxnSpPr>
        <xdr:cNvPr id="7" name="Elbow Connector 13">
          <a:extLst>
            <a:ext uri="{FF2B5EF4-FFF2-40B4-BE49-F238E27FC236}">
              <a16:creationId xmlns:a16="http://schemas.microsoft.com/office/drawing/2014/main" id="{73305898-8FDA-48B0-A267-B1D9EA52C09C}"/>
            </a:ext>
          </a:extLst>
        </xdr:cNvPr>
        <xdr:cNvCxnSpPr>
          <a:stCxn id="4" idx="2"/>
          <a:endCxn id="5" idx="2"/>
        </xdr:cNvCxnSpPr>
      </xdr:nvCxnSpPr>
      <xdr:spPr>
        <a:xfrm rot="16200000" flipH="1">
          <a:off x="1546990" y="3218793"/>
          <a:ext cx="14014" cy="1562100"/>
        </a:xfrm>
        <a:prstGeom prst="bentConnector3">
          <a:avLst>
            <a:gd name="adj1" fmla="val 1800000"/>
          </a:avLst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627379</xdr:colOff>
      <xdr:row>20</xdr:row>
      <xdr:rowOff>184150</xdr:rowOff>
    </xdr:from>
    <xdr:to>
      <xdr:col>7</xdr:col>
      <xdr:colOff>594676</xdr:colOff>
      <xdr:row>21</xdr:row>
      <xdr:rowOff>6350</xdr:rowOff>
    </xdr:to>
    <xdr:cxnSp macro="">
      <xdr:nvCxnSpPr>
        <xdr:cNvPr id="8" name="Elbow Connector 16">
          <a:extLst>
            <a:ext uri="{FF2B5EF4-FFF2-40B4-BE49-F238E27FC236}">
              <a16:creationId xmlns:a16="http://schemas.microsoft.com/office/drawing/2014/main" id="{3B77230A-B53C-411E-8553-F56C43D3F454}"/>
            </a:ext>
          </a:extLst>
        </xdr:cNvPr>
        <xdr:cNvCxnSpPr>
          <a:stCxn id="4" idx="2"/>
          <a:endCxn id="2" idx="2"/>
        </xdr:cNvCxnSpPr>
      </xdr:nvCxnSpPr>
      <xdr:spPr>
        <a:xfrm rot="16200000" flipH="1">
          <a:off x="3431698" y="1311751"/>
          <a:ext cx="12700" cy="5347017"/>
        </a:xfrm>
        <a:prstGeom prst="bentConnector3">
          <a:avLst>
            <a:gd name="adj1" fmla="val 19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61228</xdr:rowOff>
    </xdr:from>
    <xdr:to>
      <xdr:col>15</xdr:col>
      <xdr:colOff>598714</xdr:colOff>
      <xdr:row>0</xdr:row>
      <xdr:rowOff>88443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048D331-C371-449D-99A7-E61DF2E9CC02}"/>
            </a:ext>
          </a:extLst>
        </xdr:cNvPr>
        <xdr:cNvCxnSpPr/>
      </xdr:nvCxnSpPr>
      <xdr:spPr>
        <a:xfrm>
          <a:off x="0" y="61228"/>
          <a:ext cx="10504714" cy="27215"/>
        </a:xfrm>
        <a:prstGeom prst="line">
          <a:avLst/>
        </a:prstGeom>
        <a:ln w="254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400050</xdr:colOff>
      <xdr:row>1</xdr:row>
      <xdr:rowOff>19050</xdr:rowOff>
    </xdr:from>
    <xdr:to>
      <xdr:col>15</xdr:col>
      <xdr:colOff>596564</xdr:colOff>
      <xdr:row>3</xdr:row>
      <xdr:rowOff>138069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40DC67-0C54-4676-8FC3-7FCEDE4C5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6370" y="194310"/>
          <a:ext cx="1443654" cy="46699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168087</xdr:rowOff>
    </xdr:from>
    <xdr:to>
      <xdr:col>14</xdr:col>
      <xdr:colOff>349624</xdr:colOff>
      <xdr:row>35</xdr:row>
      <xdr:rowOff>33617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B4C04D-CDEA-4C7F-8B3C-F5BF1900F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3" dT="2026-02-11T13:20:19.80" personId="{BFBA37CF-1CF5-48A1-B5BA-074B0246953C}" id="{33259EE8-ACF5-41FB-84E7-BDB77E548ECB}">
    <text>Cash interest expense = cash interest paid when 100%</text>
  </threadedComment>
  <threadedComment ref="M43" dT="2026-02-11T13:20:53.74" personId="{BFBA37CF-1CF5-48A1-B5BA-074B0246953C}" id="{243FC927-FBC0-414B-9F4F-1EBD4F2A1738}">
    <text xml:space="preserve">% of principal paid each year </text>
  </threadedComment>
  <threadedComment ref="J45" dT="2026-02-11T22:47:25.44" personId="{BFBA37CF-1CF5-48A1-B5BA-074B0246953C}" id="{8D9AEC2A-4B78-478D-8BDF-4C6591193D03}">
    <text>Commitment fee</text>
  </threadedComment>
  <threadedComment ref="N46" dT="2026-02-21T23:11:07.99" personId="{BFBA37CF-1CF5-48A1-B5BA-074B0246953C}" id="{C5C1B758-06D2-4ED1-8340-9F82C45E786C}">
    <text>%age of cashflow available</text>
  </threadedComment>
  <threadedComment ref="H64" dT="2026-02-12T12:33:56.78" personId="{BFBA37CF-1CF5-48A1-B5BA-074B0246953C}" id="{CB36F24D-CDD8-4719-8F66-9DF2B8484C7D}">
    <text>If Yes - issue spillover cash (above min cash balance) to dividend</text>
  </threadedComment>
  <threadedComment ref="I92" dT="2026-05-19T09:45:50.18" personId="{61752192-1909-4932-8794-9C0C3F84D691}" id="{BF88E914-A65E-4BCA-B694-6E6D12251021}">
    <text>Multiple based on Financing EBITDA  (/= Structuring EBITDA)</text>
  </threadedComment>
  <threadedComment ref="G145" dT="2026-02-12T10:51:35.24" personId="{BFBA37CF-1CF5-48A1-B5BA-074B0246953C}" id="{7CBC8E28-7FF3-40C4-9BB9-F6A795531548}">
    <text>Financing EBITDA*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0EB303-8C2C-4168-8875-07D3F4B99321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8e8d01ac-7f8d-40a0-be13-675cb1fea76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hathamdirect.com/rates/market-rates/europe/sonia/forward-cur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F52D-BBE1-4DC9-AF77-B249A6F2659B}">
  <dimension ref="A1:U104"/>
  <sheetViews>
    <sheetView showGridLines="0" topLeftCell="D1" zoomScale="85" zoomScaleNormal="85" workbookViewId="0">
      <selection activeCell="J6" sqref="J6"/>
    </sheetView>
  </sheetViews>
  <sheetFormatPr defaultColWidth="0" defaultRowHeight="13.8" customHeight="1" zeroHeight="1"/>
  <cols>
    <col min="1" max="7" width="2.5" style="305" customWidth="1"/>
    <col min="8" max="8" width="12.625" style="305" customWidth="1"/>
    <col min="9" max="9" width="9.625" style="306" customWidth="1"/>
    <col min="10" max="10" width="11.375" style="305" bestFit="1" customWidth="1"/>
    <col min="11" max="11" width="11.75" style="305" bestFit="1" customWidth="1"/>
    <col min="12" max="12" width="11.375" style="305" bestFit="1" customWidth="1"/>
    <col min="13" max="13" width="12" style="305" bestFit="1" customWidth="1"/>
    <col min="14" max="14" width="12.625" style="305" bestFit="1" customWidth="1"/>
    <col min="15" max="15" width="12" style="305" bestFit="1" customWidth="1"/>
    <col min="16" max="17" width="11.375" style="305" bestFit="1" customWidth="1"/>
    <col min="18" max="18" width="11.25" style="305" bestFit="1" customWidth="1"/>
    <col min="19" max="19" width="12" style="305" bestFit="1" customWidth="1"/>
    <col min="20" max="20" width="2.75" style="305" customWidth="1"/>
    <col min="21" max="21" width="44.625" style="305" customWidth="1"/>
    <col min="22" max="16384" width="9.625" style="305" hidden="1"/>
  </cols>
  <sheetData>
    <row r="1" spans="1:19" s="294" customFormat="1">
      <c r="A1" s="293"/>
      <c r="B1" s="293"/>
      <c r="D1" s="296"/>
      <c r="E1" s="296"/>
      <c r="I1" s="295"/>
    </row>
    <row r="2" spans="1:19" s="294" customFormat="1">
      <c r="A2" s="293"/>
      <c r="B2" s="293"/>
      <c r="D2" s="296"/>
      <c r="E2" s="296"/>
      <c r="I2" s="295"/>
    </row>
    <row r="3" spans="1:19" s="296" customFormat="1">
      <c r="I3" s="297"/>
      <c r="J3" s="298" t="s">
        <v>3</v>
      </c>
      <c r="K3" s="298"/>
      <c r="L3" s="299"/>
      <c r="M3" s="300" t="s">
        <v>4</v>
      </c>
      <c r="N3" s="301"/>
      <c r="O3" s="301"/>
      <c r="P3" s="301"/>
      <c r="Q3" s="301"/>
      <c r="R3" s="301"/>
      <c r="S3" s="302"/>
    </row>
    <row r="4" spans="1:19" s="296" customFormat="1">
      <c r="I4" s="297"/>
      <c r="J4" s="303">
        <v>45291</v>
      </c>
      <c r="K4" s="303">
        <v>45657</v>
      </c>
      <c r="L4" s="303">
        <v>46022</v>
      </c>
      <c r="M4" s="303">
        <v>46387</v>
      </c>
      <c r="N4" s="303">
        <v>46752</v>
      </c>
      <c r="O4" s="303">
        <v>47118</v>
      </c>
      <c r="P4" s="303">
        <v>47483</v>
      </c>
      <c r="Q4" s="303">
        <v>47848</v>
      </c>
      <c r="R4" s="303">
        <v>48213</v>
      </c>
      <c r="S4" s="303">
        <v>48579</v>
      </c>
    </row>
    <row r="5" spans="1:19" s="296" customFormat="1">
      <c r="I5" s="297"/>
      <c r="J5" s="304">
        <v>2023</v>
      </c>
      <c r="K5" s="304">
        <v>2024</v>
      </c>
      <c r="L5" s="304">
        <v>2025</v>
      </c>
      <c r="M5" s="304">
        <v>2026</v>
      </c>
      <c r="N5" s="304">
        <v>2027</v>
      </c>
      <c r="O5" s="304">
        <v>2028</v>
      </c>
      <c r="P5" s="304">
        <v>2029</v>
      </c>
      <c r="Q5" s="304">
        <v>2030</v>
      </c>
      <c r="R5" s="304">
        <v>2031</v>
      </c>
      <c r="S5" s="304">
        <v>2032</v>
      </c>
    </row>
    <row r="6" spans="1:19">
      <c r="E6" s="305" t="s">
        <v>300</v>
      </c>
      <c r="J6" s="307">
        <v>29584299.360000003</v>
      </c>
      <c r="K6" s="307">
        <v>31955913.609999996</v>
      </c>
      <c r="L6" s="307">
        <v>34350355.480000004</v>
      </c>
      <c r="M6" s="307">
        <v>36061073.735567227</v>
      </c>
      <c r="N6" s="307">
        <v>37210595.78410235</v>
      </c>
      <c r="O6" s="307">
        <v>38321299.648891553</v>
      </c>
      <c r="P6" s="307">
        <v>39464976.447171427</v>
      </c>
      <c r="Q6" s="307">
        <v>40643298.328042656</v>
      </c>
      <c r="R6" s="307">
        <v>41856962.96171432</v>
      </c>
      <c r="S6" s="307">
        <v>43035387.354906149</v>
      </c>
    </row>
    <row r="7" spans="1:19">
      <c r="E7" s="305" t="s">
        <v>302</v>
      </c>
      <c r="I7" s="308"/>
      <c r="J7" s="307"/>
      <c r="K7" s="307"/>
      <c r="L7" s="307"/>
      <c r="M7" s="307"/>
      <c r="N7" s="307"/>
      <c r="O7" s="307"/>
      <c r="P7" s="307"/>
      <c r="Q7" s="307"/>
      <c r="R7" s="307"/>
      <c r="S7" s="307"/>
    </row>
    <row r="8" spans="1:19">
      <c r="E8" s="305" t="s">
        <v>301</v>
      </c>
      <c r="I8" s="308"/>
      <c r="J8" s="307">
        <v>16248890.949999999</v>
      </c>
      <c r="K8" s="307">
        <v>18856416.329999998</v>
      </c>
      <c r="L8" s="307">
        <v>20147808.897</v>
      </c>
      <c r="M8" s="307">
        <v>20983778.706343599</v>
      </c>
      <c r="N8" s="307">
        <v>21823129.854597341</v>
      </c>
      <c r="O8" s="307">
        <v>22696055.048781238</v>
      </c>
      <c r="P8" s="307">
        <v>24057818.351708114</v>
      </c>
      <c r="Q8" s="307">
        <v>24972015.449073024</v>
      </c>
      <c r="R8" s="307">
        <v>25920952.036137797</v>
      </c>
      <c r="S8" s="307">
        <v>26905948.213511035</v>
      </c>
    </row>
    <row r="9" spans="1:19">
      <c r="E9" s="305" t="s">
        <v>303</v>
      </c>
      <c r="I9" s="308"/>
      <c r="J9" s="307"/>
      <c r="K9" s="307"/>
      <c r="L9" s="307"/>
      <c r="M9" s="307"/>
      <c r="N9" s="307"/>
      <c r="O9" s="307"/>
      <c r="P9" s="307"/>
      <c r="Q9" s="307"/>
      <c r="R9" s="307"/>
      <c r="S9" s="307"/>
    </row>
    <row r="10" spans="1:19">
      <c r="E10" s="305" t="s">
        <v>143</v>
      </c>
      <c r="I10" s="308"/>
      <c r="J10" s="307"/>
      <c r="K10" s="307"/>
      <c r="L10" s="307"/>
      <c r="M10" s="307"/>
      <c r="N10" s="307"/>
      <c r="O10" s="307"/>
      <c r="P10" s="307"/>
      <c r="Q10" s="307"/>
      <c r="R10" s="307"/>
      <c r="S10" s="307"/>
    </row>
    <row r="11" spans="1:19" s="309" customFormat="1">
      <c r="D11" s="309" t="s">
        <v>278</v>
      </c>
      <c r="I11" s="310"/>
      <c r="J11" s="311">
        <f t="shared" ref="J11:S11" si="0">SUM(J6:J9)</f>
        <v>45833190.310000002</v>
      </c>
      <c r="K11" s="311">
        <f t="shared" si="0"/>
        <v>50812329.939999998</v>
      </c>
      <c r="L11" s="311">
        <f t="shared" si="0"/>
        <v>54498164.377000004</v>
      </c>
      <c r="M11" s="311">
        <f t="shared" si="0"/>
        <v>57044852.441910826</v>
      </c>
      <c r="N11" s="311">
        <f t="shared" si="0"/>
        <v>59033725.638699695</v>
      </c>
      <c r="O11" s="311">
        <f t="shared" si="0"/>
        <v>61017354.697672792</v>
      </c>
      <c r="P11" s="311">
        <f t="shared" si="0"/>
        <v>63522794.798879541</v>
      </c>
      <c r="Q11" s="311">
        <f t="shared" si="0"/>
        <v>65615313.77711568</v>
      </c>
      <c r="R11" s="311">
        <f t="shared" si="0"/>
        <v>67777914.997852117</v>
      </c>
      <c r="S11" s="311">
        <f t="shared" si="0"/>
        <v>69941335.568417192</v>
      </c>
    </row>
    <row r="12" spans="1:19">
      <c r="I12" s="308"/>
      <c r="J12" s="307"/>
      <c r="K12" s="307"/>
      <c r="L12" s="307"/>
      <c r="M12" s="307"/>
      <c r="N12" s="307"/>
      <c r="O12" s="307"/>
      <c r="P12" s="307"/>
      <c r="Q12" s="307"/>
      <c r="R12" s="307"/>
      <c r="S12" s="307"/>
    </row>
    <row r="13" spans="1:19">
      <c r="E13" s="305" t="s">
        <v>296</v>
      </c>
      <c r="I13" s="308"/>
      <c r="J13" s="307">
        <v>4471641.070000004</v>
      </c>
      <c r="K13" s="307">
        <v>5135402.3900000006</v>
      </c>
      <c r="L13" s="307">
        <v>5611266.5000000019</v>
      </c>
      <c r="M13" s="307">
        <v>5658934.4020113098</v>
      </c>
      <c r="N13" s="307">
        <v>5743322.1618650872</v>
      </c>
      <c r="O13" s="307">
        <v>5898715.673426982</v>
      </c>
      <c r="P13" s="307">
        <v>6108420.1673825867</v>
      </c>
      <c r="Q13" s="307">
        <v>6328801.9060135866</v>
      </c>
      <c r="R13" s="307">
        <v>6536827.6069719475</v>
      </c>
      <c r="S13" s="307">
        <v>6733081.3978060838</v>
      </c>
    </row>
    <row r="14" spans="1:19">
      <c r="E14" s="305" t="s">
        <v>299</v>
      </c>
      <c r="I14" s="308"/>
      <c r="J14" s="307"/>
      <c r="K14" s="307"/>
      <c r="L14" s="307"/>
      <c r="M14" s="307"/>
      <c r="N14" s="307"/>
      <c r="O14" s="307"/>
      <c r="P14" s="307"/>
      <c r="Q14" s="307"/>
      <c r="R14" s="307"/>
      <c r="S14" s="307"/>
    </row>
    <row r="15" spans="1:19">
      <c r="E15" s="305" t="s">
        <v>298</v>
      </c>
      <c r="I15" s="308"/>
      <c r="J15" s="307">
        <v>2079194.9199999985</v>
      </c>
      <c r="K15" s="307">
        <v>4564881.8099999977</v>
      </c>
      <c r="L15" s="307">
        <v>4958350.9669999983</v>
      </c>
      <c r="M15" s="307">
        <v>5383844.7757140631</v>
      </c>
      <c r="N15" s="307">
        <v>5658095.3721378967</v>
      </c>
      <c r="O15" s="307">
        <v>6073060.0990569582</v>
      </c>
      <c r="P15" s="307">
        <v>6403720.529858904</v>
      </c>
      <c r="Q15" s="307">
        <v>6808512.6415305976</v>
      </c>
      <c r="R15" s="307">
        <v>7227678.7045770269</v>
      </c>
      <c r="S15" s="307">
        <v>7661568.1402442344</v>
      </c>
    </row>
    <row r="16" spans="1:19">
      <c r="E16" s="305" t="s">
        <v>297</v>
      </c>
      <c r="I16" s="308"/>
      <c r="J16" s="307"/>
      <c r="K16" s="307"/>
      <c r="L16" s="307"/>
      <c r="M16" s="307"/>
      <c r="N16" s="307"/>
      <c r="O16" s="307"/>
      <c r="P16" s="307"/>
      <c r="Q16" s="307"/>
      <c r="R16" s="307"/>
      <c r="S16" s="307"/>
    </row>
    <row r="17" spans="4:19">
      <c r="E17" s="305" t="s">
        <v>145</v>
      </c>
      <c r="I17" s="308"/>
      <c r="J17" s="307">
        <v>0</v>
      </c>
      <c r="K17" s="307">
        <v>0</v>
      </c>
      <c r="L17" s="307">
        <v>0</v>
      </c>
      <c r="M17" s="307">
        <v>250000</v>
      </c>
      <c r="N17" s="307">
        <v>1000000</v>
      </c>
      <c r="O17" s="307">
        <v>1030000</v>
      </c>
      <c r="P17" s="307">
        <v>1060900</v>
      </c>
      <c r="Q17" s="307">
        <v>1092727</v>
      </c>
      <c r="R17" s="307">
        <v>1125508.81</v>
      </c>
      <c r="S17" s="307">
        <v>1159274.0743</v>
      </c>
    </row>
    <row r="18" spans="4:19">
      <c r="E18" s="305" t="s">
        <v>279</v>
      </c>
      <c r="I18" s="308"/>
      <c r="J18" s="307">
        <v>0</v>
      </c>
      <c r="K18" s="307">
        <v>0</v>
      </c>
      <c r="L18" s="307">
        <v>0</v>
      </c>
      <c r="M18" s="307">
        <v>-16077.25</v>
      </c>
      <c r="N18" s="307">
        <v>635551.5</v>
      </c>
      <c r="O18" s="307">
        <v>729310.04</v>
      </c>
      <c r="P18" s="307">
        <v>751189.34120000002</v>
      </c>
      <c r="Q18" s="307">
        <v>773725.02143600001</v>
      </c>
      <c r="R18" s="307">
        <v>796936.77207907999</v>
      </c>
      <c r="S18" s="307">
        <v>820844.87524145236</v>
      </c>
    </row>
    <row r="19" spans="4:19">
      <c r="E19" s="305" t="s">
        <v>280</v>
      </c>
      <c r="I19" s="308"/>
      <c r="J19" s="307">
        <v>0</v>
      </c>
      <c r="K19" s="307">
        <v>0</v>
      </c>
      <c r="L19" s="307">
        <v>0</v>
      </c>
      <c r="M19" s="307">
        <v>201783.283</v>
      </c>
      <c r="N19" s="307">
        <v>484279.87919999997</v>
      </c>
      <c r="O19" s="307">
        <v>498808.27557599993</v>
      </c>
      <c r="P19" s="307">
        <v>513772.5238432801</v>
      </c>
      <c r="Q19" s="307">
        <v>529185.69955857843</v>
      </c>
      <c r="R19" s="307">
        <v>545061.27054533572</v>
      </c>
      <c r="S19" s="307">
        <v>561413.10866169573</v>
      </c>
    </row>
    <row r="20" spans="4:19">
      <c r="D20" s="309" t="s">
        <v>14</v>
      </c>
      <c r="E20" s="309"/>
      <c r="I20" s="308"/>
      <c r="J20" s="311">
        <f t="shared" ref="J20:S20" si="1">SUM(J13:J19)</f>
        <v>6550835.9900000021</v>
      </c>
      <c r="K20" s="311">
        <f t="shared" si="1"/>
        <v>9700284.1999999993</v>
      </c>
      <c r="L20" s="311">
        <f t="shared" si="1"/>
        <v>10569617.467</v>
      </c>
      <c r="M20" s="311">
        <f t="shared" si="1"/>
        <v>11478485.210725373</v>
      </c>
      <c r="N20" s="311">
        <f t="shared" si="1"/>
        <v>13521248.913202984</v>
      </c>
      <c r="O20" s="311">
        <f t="shared" si="1"/>
        <v>14229894.088059939</v>
      </c>
      <c r="P20" s="311">
        <f t="shared" si="1"/>
        <v>14838002.562284771</v>
      </c>
      <c r="Q20" s="311">
        <f t="shared" si="1"/>
        <v>15532952.268538764</v>
      </c>
      <c r="R20" s="311">
        <f t="shared" si="1"/>
        <v>16232013.164173391</v>
      </c>
      <c r="S20" s="311">
        <f t="shared" si="1"/>
        <v>16936181.596253466</v>
      </c>
    </row>
    <row r="21" spans="4:19" s="312" customFormat="1">
      <c r="F21" s="312" t="s">
        <v>145</v>
      </c>
      <c r="I21" s="308"/>
      <c r="J21" s="313"/>
      <c r="K21" s="313"/>
      <c r="L21" s="313"/>
      <c r="M21" s="313"/>
      <c r="N21" s="313"/>
      <c r="O21" s="314">
        <f t="shared" ref="O21:Q23" si="2">+O17/N17-1</f>
        <v>3.0000000000000027E-2</v>
      </c>
      <c r="P21" s="314">
        <f t="shared" si="2"/>
        <v>3.0000000000000027E-2</v>
      </c>
      <c r="Q21" s="314">
        <f t="shared" si="2"/>
        <v>3.0000000000000027E-2</v>
      </c>
      <c r="R21" s="315">
        <v>3.0000000000000027E-2</v>
      </c>
      <c r="S21" s="315">
        <v>3.0000000000000027E-2</v>
      </c>
    </row>
    <row r="22" spans="4:19" s="312" customFormat="1">
      <c r="F22" s="312" t="s">
        <v>279</v>
      </c>
      <c r="I22" s="308"/>
      <c r="J22" s="313"/>
      <c r="K22" s="313"/>
      <c r="L22" s="313"/>
      <c r="M22" s="313"/>
      <c r="N22" s="313"/>
      <c r="O22" s="314">
        <f t="shared" si="2"/>
        <v>0.14752311968424281</v>
      </c>
      <c r="P22" s="314">
        <f t="shared" si="2"/>
        <v>3.0000000000000027E-2</v>
      </c>
      <c r="Q22" s="314">
        <f t="shared" si="2"/>
        <v>3.0000000000000027E-2</v>
      </c>
      <c r="R22" s="315">
        <v>3.0000000000000027E-2</v>
      </c>
      <c r="S22" s="315">
        <v>3.0000000000000027E-2</v>
      </c>
    </row>
    <row r="23" spans="4:19" s="312" customFormat="1">
      <c r="F23" s="312" t="s">
        <v>280</v>
      </c>
      <c r="I23" s="308"/>
      <c r="J23" s="313"/>
      <c r="K23" s="313"/>
      <c r="L23" s="313"/>
      <c r="M23" s="313"/>
      <c r="N23" s="313"/>
      <c r="O23" s="314">
        <f t="shared" si="2"/>
        <v>3.0000000000000027E-2</v>
      </c>
      <c r="P23" s="314">
        <f t="shared" si="2"/>
        <v>3.0000000000000249E-2</v>
      </c>
      <c r="Q23" s="314">
        <f t="shared" si="2"/>
        <v>2.9999999999999805E-2</v>
      </c>
      <c r="R23" s="315">
        <v>2.9999999999999805E-2</v>
      </c>
      <c r="S23" s="315">
        <v>2.9999999999999805E-2</v>
      </c>
    </row>
    <row r="24" spans="4:19">
      <c r="I24" s="308"/>
      <c r="J24" s="307"/>
      <c r="K24" s="307"/>
      <c r="L24" s="307"/>
      <c r="M24" s="307"/>
      <c r="N24" s="307"/>
      <c r="O24" s="307"/>
      <c r="P24" s="307"/>
      <c r="Q24" s="307"/>
      <c r="R24" s="307"/>
      <c r="S24" s="307"/>
    </row>
    <row r="25" spans="4:19">
      <c r="E25" s="305" t="s">
        <v>292</v>
      </c>
      <c r="I25" s="308"/>
      <c r="J25" s="307">
        <v>-1256947.9099999999</v>
      </c>
      <c r="K25" s="307">
        <v>-875356.88</v>
      </c>
      <c r="L25" s="307">
        <v>-902095.69</v>
      </c>
      <c r="M25" s="307">
        <v>-833767.37851460208</v>
      </c>
      <c r="N25" s="307">
        <v>-960879.86659634172</v>
      </c>
      <c r="O25" s="307">
        <v>-1033607.6517802208</v>
      </c>
      <c r="P25" s="307">
        <v>-1116949.423418737</v>
      </c>
      <c r="Q25" s="307">
        <v>-1171002.2030104811</v>
      </c>
      <c r="R25" s="307">
        <v>-1160547.555007861</v>
      </c>
      <c r="S25" s="307">
        <v>-1160352.9832558956</v>
      </c>
    </row>
    <row r="26" spans="4:19">
      <c r="E26" s="305" t="s">
        <v>293</v>
      </c>
      <c r="I26" s="308"/>
      <c r="J26" s="307"/>
      <c r="K26" s="307"/>
      <c r="L26" s="307"/>
      <c r="M26" s="307"/>
      <c r="N26" s="307"/>
      <c r="O26" s="307"/>
      <c r="P26" s="307"/>
      <c r="Q26" s="307"/>
      <c r="R26" s="307"/>
      <c r="S26" s="307"/>
    </row>
    <row r="27" spans="4:19">
      <c r="E27" s="305" t="s">
        <v>294</v>
      </c>
      <c r="I27" s="308"/>
      <c r="J27" s="307">
        <v>-1413993.94</v>
      </c>
      <c r="K27" s="307">
        <v>-1672066.55</v>
      </c>
      <c r="L27" s="307">
        <v>-2059740.6099999992</v>
      </c>
      <c r="M27" s="307">
        <v>-2253571.6100000003</v>
      </c>
      <c r="N27" s="307">
        <v>-2312718.5200000005</v>
      </c>
      <c r="O27" s="307">
        <v>-2325871</v>
      </c>
      <c r="P27" s="307">
        <v>-2415434</v>
      </c>
      <c r="Q27" s="307">
        <v>-2491444.4000000004</v>
      </c>
      <c r="R27" s="307">
        <v>-2491444.4</v>
      </c>
      <c r="S27" s="307">
        <v>-1406816.4</v>
      </c>
    </row>
    <row r="28" spans="4:19">
      <c r="E28" s="305" t="s">
        <v>295</v>
      </c>
      <c r="I28" s="308"/>
      <c r="J28" s="307"/>
      <c r="K28" s="307"/>
      <c r="L28" s="307"/>
      <c r="M28" s="307"/>
      <c r="N28" s="307"/>
      <c r="O28" s="307"/>
      <c r="P28" s="307"/>
      <c r="Q28" s="307"/>
      <c r="R28" s="307"/>
      <c r="S28" s="307"/>
    </row>
    <row r="29" spans="4:19">
      <c r="E29" s="305" t="s">
        <v>305</v>
      </c>
      <c r="I29" s="308"/>
      <c r="J29" s="307"/>
      <c r="K29" s="307"/>
      <c r="L29" s="307"/>
      <c r="M29" s="307"/>
      <c r="N29" s="307"/>
      <c r="O29" s="307"/>
      <c r="P29" s="307"/>
      <c r="Q29" s="307"/>
      <c r="R29" s="307"/>
      <c r="S29" s="307"/>
    </row>
    <row r="30" spans="4:19">
      <c r="D30" s="309" t="s">
        <v>40</v>
      </c>
      <c r="E30" s="309"/>
      <c r="I30" s="308"/>
      <c r="J30" s="311">
        <f t="shared" ref="J30:S30" si="3">SUM(J25:J28)</f>
        <v>-2670941.8499999996</v>
      </c>
      <c r="K30" s="311">
        <f t="shared" si="3"/>
        <v>-2547423.4300000002</v>
      </c>
      <c r="L30" s="311">
        <f t="shared" si="3"/>
        <v>-2961836.2999999989</v>
      </c>
      <c r="M30" s="311">
        <f t="shared" si="3"/>
        <v>-3087338.9885146022</v>
      </c>
      <c r="N30" s="311">
        <f t="shared" si="3"/>
        <v>-3273598.3865963421</v>
      </c>
      <c r="O30" s="311">
        <f t="shared" si="3"/>
        <v>-3359478.6517802207</v>
      </c>
      <c r="P30" s="311">
        <f t="shared" si="3"/>
        <v>-3532383.423418737</v>
      </c>
      <c r="Q30" s="311">
        <f t="shared" si="3"/>
        <v>-3662446.6030104812</v>
      </c>
      <c r="R30" s="311">
        <f t="shared" si="3"/>
        <v>-3651991.9550078609</v>
      </c>
      <c r="S30" s="311">
        <f t="shared" si="3"/>
        <v>-2567169.3832558952</v>
      </c>
    </row>
    <row r="31" spans="4:19">
      <c r="I31" s="308"/>
      <c r="J31" s="307"/>
      <c r="K31" s="307"/>
      <c r="L31" s="307"/>
      <c r="M31" s="307"/>
      <c r="N31" s="307"/>
      <c r="O31" s="307"/>
      <c r="P31" s="307"/>
      <c r="Q31" s="307"/>
      <c r="R31" s="307"/>
      <c r="S31" s="307"/>
    </row>
    <row r="32" spans="4:19">
      <c r="E32" s="305" t="s">
        <v>312</v>
      </c>
      <c r="I32" s="308"/>
      <c r="J32" s="316"/>
      <c r="K32" s="307">
        <v>-517791.24999999814</v>
      </c>
      <c r="L32" s="307">
        <v>-2015154.6799998917</v>
      </c>
      <c r="M32" s="307">
        <v>2789219.0349998828</v>
      </c>
      <c r="N32" s="307">
        <v>975000</v>
      </c>
      <c r="O32" s="307">
        <v>-607358.39205248281</v>
      </c>
      <c r="P32" s="307">
        <v>-1878810.3000596482</v>
      </c>
      <c r="Q32" s="307">
        <v>-3039699.984027626</v>
      </c>
      <c r="R32" s="307">
        <v>-3266581.703100387</v>
      </c>
      <c r="S32" s="307">
        <v>-3480019.5671747364</v>
      </c>
    </row>
    <row r="33" spans="4:19">
      <c r="E33" s="305" t="s">
        <v>313</v>
      </c>
      <c r="I33" s="308"/>
      <c r="J33" s="316"/>
      <c r="K33" s="307">
        <v>-261104.27999999933</v>
      </c>
      <c r="L33" s="307">
        <v>161655.97999999952</v>
      </c>
      <c r="M33" s="307">
        <v>305096.73623516411</v>
      </c>
      <c r="N33" s="307">
        <v>266809.07011274155</v>
      </c>
      <c r="O33" s="307">
        <v>350756.21596294921</v>
      </c>
      <c r="P33" s="307">
        <v>373408.03271712642</v>
      </c>
      <c r="Q33" s="307">
        <v>391810.16608287301</v>
      </c>
      <c r="R33" s="307">
        <v>414201.92420741916</v>
      </c>
      <c r="S33" s="307">
        <v>437882.73558321502</v>
      </c>
    </row>
    <row r="34" spans="4:19">
      <c r="E34" s="305" t="s">
        <v>291</v>
      </c>
      <c r="I34" s="308"/>
      <c r="J34" s="307"/>
      <c r="K34" s="307"/>
      <c r="L34" s="307"/>
      <c r="M34" s="307"/>
      <c r="N34" s="307"/>
      <c r="O34" s="307"/>
      <c r="P34" s="307"/>
      <c r="Q34" s="307"/>
      <c r="R34" s="307"/>
      <c r="S34" s="307"/>
    </row>
    <row r="35" spans="4:19">
      <c r="E35" s="305" t="s">
        <v>311</v>
      </c>
      <c r="I35" s="308"/>
      <c r="J35" s="307"/>
      <c r="K35" s="307"/>
      <c r="L35" s="307"/>
      <c r="M35" s="307"/>
      <c r="N35" s="307"/>
      <c r="O35" s="307"/>
      <c r="P35" s="307"/>
      <c r="Q35" s="307"/>
      <c r="R35" s="307"/>
      <c r="S35" s="307"/>
    </row>
    <row r="36" spans="4:19">
      <c r="D36" s="309" t="s">
        <v>30</v>
      </c>
      <c r="E36" s="309"/>
      <c r="I36" s="308"/>
      <c r="J36" s="311">
        <f t="shared" ref="J36:S36" si="4">SUM(J32:J35)</f>
        <v>0</v>
      </c>
      <c r="K36" s="311">
        <f t="shared" si="4"/>
        <v>-778895.52999999747</v>
      </c>
      <c r="L36" s="311">
        <f t="shared" si="4"/>
        <v>-1853498.6999998922</v>
      </c>
      <c r="M36" s="311">
        <f t="shared" si="4"/>
        <v>3094315.7712350469</v>
      </c>
      <c r="N36" s="311">
        <f t="shared" si="4"/>
        <v>1241809.0701127416</v>
      </c>
      <c r="O36" s="311">
        <f t="shared" si="4"/>
        <v>-256602.1760895336</v>
      </c>
      <c r="P36" s="311">
        <f t="shared" si="4"/>
        <v>-1505402.2673425218</v>
      </c>
      <c r="Q36" s="311">
        <f t="shared" si="4"/>
        <v>-2647889.817944753</v>
      </c>
      <c r="R36" s="311">
        <f t="shared" si="4"/>
        <v>-2852379.7788929678</v>
      </c>
      <c r="S36" s="311">
        <f t="shared" si="4"/>
        <v>-3042136.8315915214</v>
      </c>
    </row>
    <row r="37" spans="4:19">
      <c r="I37" s="308"/>
      <c r="J37" s="307"/>
      <c r="K37" s="307"/>
      <c r="L37" s="307"/>
      <c r="M37" s="307"/>
      <c r="N37" s="307"/>
      <c r="O37" s="307"/>
      <c r="P37" s="307"/>
      <c r="Q37" s="307"/>
      <c r="R37" s="307"/>
      <c r="S37" s="307"/>
    </row>
    <row r="38" spans="4:19">
      <c r="E38" s="305" t="s">
        <v>306</v>
      </c>
      <c r="I38" s="308"/>
      <c r="J38" s="307">
        <v>-1613813.9099999995</v>
      </c>
      <c r="K38" s="307">
        <v>-907966.59000001161</v>
      </c>
      <c r="L38" s="307">
        <v>195515.28000000119</v>
      </c>
      <c r="M38" s="307">
        <v>-1014499.9999999993</v>
      </c>
      <c r="N38" s="307">
        <v>-1000000.0000000006</v>
      </c>
      <c r="O38" s="307">
        <v>-999999.99999999919</v>
      </c>
      <c r="P38" s="307">
        <v>-999999.99999999907</v>
      </c>
      <c r="Q38" s="307">
        <v>-1000000.000000004</v>
      </c>
      <c r="R38" s="307">
        <v>-1000000.0000000009</v>
      </c>
      <c r="S38" s="307">
        <v>-999999.99999999511</v>
      </c>
    </row>
    <row r="39" spans="4:19">
      <c r="E39" s="305" t="s">
        <v>309</v>
      </c>
      <c r="I39" s="308"/>
      <c r="J39" s="307"/>
      <c r="K39" s="307"/>
      <c r="L39" s="307"/>
      <c r="M39" s="307"/>
      <c r="N39" s="307"/>
      <c r="O39" s="307"/>
      <c r="P39" s="307"/>
      <c r="Q39" s="307"/>
      <c r="R39" s="307"/>
      <c r="S39" s="307"/>
    </row>
    <row r="40" spans="4:19">
      <c r="E40" s="305" t="s">
        <v>307</v>
      </c>
      <c r="I40" s="308"/>
      <c r="J40" s="307">
        <v>-3899585.0599999987</v>
      </c>
      <c r="K40" s="307">
        <v>-2004497.879999999</v>
      </c>
      <c r="L40" s="307">
        <v>-3409752.9099999946</v>
      </c>
      <c r="M40" s="307">
        <v>-450000.0000000149</v>
      </c>
      <c r="N40" s="307">
        <v>-1000000.0000000447</v>
      </c>
      <c r="O40" s="307">
        <v>-1000000.0000000447</v>
      </c>
      <c r="P40" s="307">
        <v>-1000000.0000000447</v>
      </c>
      <c r="Q40" s="307">
        <v>-1000000.0000000447</v>
      </c>
      <c r="R40" s="307">
        <v>-1000000.0000000447</v>
      </c>
      <c r="S40" s="307">
        <v>-1000000.0000000447</v>
      </c>
    </row>
    <row r="41" spans="4:19">
      <c r="E41" s="305" t="s">
        <v>310</v>
      </c>
      <c r="I41" s="308"/>
      <c r="J41" s="307"/>
      <c r="K41" s="307"/>
      <c r="L41" s="307"/>
      <c r="M41" s="307"/>
      <c r="N41" s="307"/>
      <c r="O41" s="307"/>
      <c r="P41" s="307"/>
      <c r="Q41" s="307"/>
      <c r="R41" s="307"/>
      <c r="S41" s="307"/>
    </row>
    <row r="42" spans="4:19">
      <c r="E42" s="305" t="s">
        <v>308</v>
      </c>
      <c r="I42" s="308"/>
      <c r="J42" s="307"/>
      <c r="K42" s="307"/>
      <c r="L42" s="307"/>
      <c r="M42" s="307"/>
      <c r="N42" s="307"/>
      <c r="O42" s="307"/>
      <c r="P42" s="307"/>
      <c r="Q42" s="307"/>
      <c r="R42" s="307"/>
      <c r="S42" s="307"/>
    </row>
    <row r="43" spans="4:19">
      <c r="D43" s="309" t="s">
        <v>281</v>
      </c>
      <c r="E43" s="309"/>
      <c r="J43" s="311">
        <f t="shared" ref="J43:S43" si="5">SUM(J38:J41)</f>
        <v>-5513398.9699999979</v>
      </c>
      <c r="K43" s="311">
        <f t="shared" si="5"/>
        <v>-2912464.4700000104</v>
      </c>
      <c r="L43" s="311">
        <f t="shared" si="5"/>
        <v>-3214237.6299999934</v>
      </c>
      <c r="M43" s="311">
        <f t="shared" si="5"/>
        <v>-1464500.0000000142</v>
      </c>
      <c r="N43" s="311">
        <f t="shared" si="5"/>
        <v>-2000000.0000000452</v>
      </c>
      <c r="O43" s="311">
        <f t="shared" si="5"/>
        <v>-2000000.0000000438</v>
      </c>
      <c r="P43" s="311">
        <f t="shared" si="5"/>
        <v>-2000000.0000000438</v>
      </c>
      <c r="Q43" s="311">
        <f t="shared" si="5"/>
        <v>-2000000.0000000487</v>
      </c>
      <c r="R43" s="311">
        <f t="shared" si="5"/>
        <v>-2000000.0000000456</v>
      </c>
      <c r="S43" s="311">
        <f t="shared" si="5"/>
        <v>-2000000.0000000398</v>
      </c>
    </row>
    <row r="44" spans="4:19">
      <c r="J44" s="307"/>
      <c r="K44" s="307"/>
      <c r="L44" s="307"/>
      <c r="M44" s="307"/>
      <c r="N44" s="307"/>
      <c r="O44" s="307"/>
      <c r="P44" s="307"/>
      <c r="Q44" s="307"/>
      <c r="R44" s="307"/>
      <c r="S44" s="307"/>
    </row>
    <row r="45" spans="4:19">
      <c r="J45" s="307"/>
      <c r="K45" s="307"/>
      <c r="L45" s="307"/>
      <c r="M45" s="307"/>
      <c r="N45" s="307"/>
      <c r="O45" s="307"/>
      <c r="P45" s="307"/>
      <c r="Q45" s="307"/>
      <c r="R45" s="307"/>
      <c r="S45" s="307"/>
    </row>
    <row r="46" spans="4:19" hidden="1">
      <c r="J46" s="307"/>
      <c r="K46" s="307"/>
      <c r="L46" s="307"/>
      <c r="M46" s="307"/>
      <c r="N46" s="307"/>
      <c r="O46" s="307"/>
      <c r="P46" s="307"/>
      <c r="Q46" s="307"/>
      <c r="R46" s="307"/>
      <c r="S46" s="307"/>
    </row>
    <row r="47" spans="4:19" hidden="1">
      <c r="J47" s="307"/>
      <c r="K47" s="307"/>
      <c r="L47" s="307"/>
      <c r="M47" s="307"/>
      <c r="N47" s="307"/>
      <c r="O47" s="307"/>
      <c r="P47" s="307"/>
      <c r="Q47" s="307"/>
      <c r="R47" s="307"/>
      <c r="S47" s="307"/>
    </row>
    <row r="48" spans="4:19" hidden="1">
      <c r="J48" s="307"/>
      <c r="K48" s="307"/>
      <c r="L48" s="307"/>
      <c r="M48" s="307"/>
      <c r="N48" s="307"/>
      <c r="O48" s="307"/>
      <c r="P48" s="307"/>
      <c r="Q48" s="307"/>
      <c r="R48" s="307"/>
      <c r="S48" s="307"/>
    </row>
    <row r="49" spans="10:19" hidden="1">
      <c r="J49" s="307"/>
      <c r="K49" s="307"/>
      <c r="L49" s="307"/>
      <c r="M49" s="307"/>
      <c r="N49" s="307"/>
      <c r="O49" s="307"/>
      <c r="P49" s="307"/>
      <c r="Q49" s="307"/>
      <c r="R49" s="307"/>
      <c r="S49" s="307"/>
    </row>
    <row r="50" spans="10:19" hidden="1">
      <c r="J50" s="307"/>
      <c r="K50" s="307"/>
      <c r="L50" s="307"/>
      <c r="M50" s="307"/>
      <c r="N50" s="307"/>
      <c r="O50" s="307"/>
      <c r="P50" s="307"/>
      <c r="Q50" s="307"/>
      <c r="R50" s="307"/>
      <c r="S50" s="307"/>
    </row>
    <row r="51" spans="10:19" hidden="1">
      <c r="J51" s="307"/>
      <c r="K51" s="307"/>
      <c r="L51" s="307"/>
      <c r="M51" s="307"/>
      <c r="N51" s="307"/>
      <c r="O51" s="307"/>
      <c r="P51" s="307"/>
      <c r="Q51" s="307"/>
      <c r="R51" s="307"/>
      <c r="S51" s="307"/>
    </row>
    <row r="52" spans="10:19" hidden="1">
      <c r="J52" s="307"/>
      <c r="K52" s="307"/>
      <c r="L52" s="307"/>
      <c r="M52" s="307"/>
      <c r="N52" s="307"/>
      <c r="O52" s="307"/>
      <c r="P52" s="307"/>
      <c r="Q52" s="307"/>
      <c r="R52" s="307"/>
      <c r="S52" s="307"/>
    </row>
    <row r="53" spans="10:19" hidden="1">
      <c r="J53" s="307"/>
      <c r="K53" s="307"/>
      <c r="L53" s="307"/>
      <c r="M53" s="307"/>
      <c r="N53" s="307"/>
      <c r="O53" s="307"/>
      <c r="P53" s="307"/>
      <c r="Q53" s="307"/>
      <c r="R53" s="307"/>
      <c r="S53" s="307"/>
    </row>
    <row r="54" spans="10:19" hidden="1">
      <c r="J54" s="307"/>
      <c r="K54" s="307"/>
      <c r="L54" s="307"/>
      <c r="M54" s="307"/>
      <c r="N54" s="307"/>
      <c r="O54" s="307"/>
      <c r="P54" s="307"/>
      <c r="Q54" s="307"/>
      <c r="R54" s="307"/>
      <c r="S54" s="307"/>
    </row>
    <row r="55" spans="10:19" hidden="1">
      <c r="J55" s="307"/>
      <c r="K55" s="307"/>
      <c r="L55" s="307"/>
      <c r="M55" s="307"/>
      <c r="N55" s="307"/>
      <c r="O55" s="307"/>
      <c r="P55" s="307"/>
      <c r="Q55" s="307"/>
      <c r="R55" s="307"/>
      <c r="S55" s="307"/>
    </row>
    <row r="56" spans="10:19" hidden="1">
      <c r="J56" s="307"/>
      <c r="K56" s="307"/>
      <c r="L56" s="307"/>
      <c r="M56" s="307"/>
      <c r="N56" s="307"/>
      <c r="O56" s="307"/>
      <c r="P56" s="307"/>
      <c r="Q56" s="307"/>
      <c r="R56" s="307"/>
      <c r="S56" s="307"/>
    </row>
    <row r="57" spans="10:19" hidden="1">
      <c r="J57" s="307"/>
      <c r="K57" s="307"/>
      <c r="L57" s="307"/>
      <c r="M57" s="307"/>
      <c r="N57" s="307"/>
      <c r="O57" s="307"/>
      <c r="P57" s="307"/>
      <c r="Q57" s="307"/>
      <c r="R57" s="307"/>
      <c r="S57" s="307"/>
    </row>
    <row r="58" spans="10:19" hidden="1">
      <c r="J58" s="307"/>
      <c r="K58" s="307"/>
      <c r="L58" s="307"/>
      <c r="M58" s="307"/>
      <c r="N58" s="307"/>
      <c r="O58" s="307"/>
      <c r="P58" s="307"/>
      <c r="Q58" s="307"/>
      <c r="R58" s="307"/>
      <c r="S58" s="307"/>
    </row>
    <row r="59" spans="10:19" hidden="1">
      <c r="J59" s="307"/>
      <c r="K59" s="307"/>
      <c r="L59" s="307"/>
      <c r="M59" s="307"/>
      <c r="N59" s="307"/>
      <c r="O59" s="307"/>
      <c r="P59" s="307"/>
      <c r="Q59" s="307"/>
      <c r="R59" s="307"/>
      <c r="S59" s="307"/>
    </row>
    <row r="60" spans="10:19" hidden="1">
      <c r="J60" s="307"/>
      <c r="K60" s="307"/>
      <c r="L60" s="307"/>
      <c r="M60" s="307"/>
      <c r="N60" s="307"/>
      <c r="O60" s="307"/>
      <c r="P60" s="307"/>
      <c r="Q60" s="307"/>
      <c r="R60" s="307"/>
      <c r="S60" s="307"/>
    </row>
    <row r="61" spans="10:19" hidden="1">
      <c r="J61" s="307"/>
      <c r="K61" s="307"/>
      <c r="L61" s="307"/>
      <c r="M61" s="307"/>
      <c r="N61" s="307"/>
      <c r="O61" s="307"/>
      <c r="P61" s="307"/>
      <c r="Q61" s="307"/>
      <c r="R61" s="307"/>
      <c r="S61" s="307"/>
    </row>
    <row r="62" spans="10:19" hidden="1">
      <c r="J62" s="307"/>
      <c r="K62" s="307"/>
      <c r="L62" s="307"/>
      <c r="M62" s="307"/>
      <c r="N62" s="307"/>
      <c r="O62" s="307"/>
      <c r="P62" s="307"/>
      <c r="Q62" s="307"/>
      <c r="R62" s="307"/>
      <c r="S62" s="307"/>
    </row>
    <row r="63" spans="10:19" hidden="1">
      <c r="J63" s="307"/>
      <c r="K63" s="307"/>
      <c r="L63" s="307"/>
      <c r="M63" s="307"/>
      <c r="N63" s="307"/>
      <c r="O63" s="307"/>
      <c r="P63" s="307"/>
      <c r="Q63" s="307"/>
      <c r="R63" s="307"/>
      <c r="S63" s="307"/>
    </row>
    <row r="64" spans="10:19" hidden="1">
      <c r="J64" s="307"/>
      <c r="K64" s="307"/>
      <c r="L64" s="307"/>
      <c r="M64" s="307"/>
      <c r="N64" s="307"/>
      <c r="O64" s="307"/>
      <c r="P64" s="307"/>
      <c r="Q64" s="307"/>
      <c r="R64" s="307"/>
      <c r="S64" s="307"/>
    </row>
    <row r="65" spans="10:19" hidden="1">
      <c r="J65" s="307"/>
      <c r="K65" s="307"/>
      <c r="L65" s="307"/>
      <c r="M65" s="307"/>
      <c r="N65" s="307"/>
      <c r="O65" s="307"/>
      <c r="P65" s="307"/>
      <c r="Q65" s="307"/>
      <c r="R65" s="307"/>
      <c r="S65" s="307"/>
    </row>
    <row r="66" spans="10:19" hidden="1">
      <c r="J66" s="307"/>
      <c r="K66" s="307"/>
      <c r="L66" s="307"/>
      <c r="M66" s="307"/>
      <c r="N66" s="307"/>
      <c r="O66" s="307"/>
      <c r="P66" s="307"/>
      <c r="Q66" s="307"/>
      <c r="R66" s="307"/>
      <c r="S66" s="307"/>
    </row>
    <row r="67" spans="10:19" hidden="1">
      <c r="J67" s="307"/>
      <c r="K67" s="307"/>
      <c r="L67" s="307"/>
      <c r="M67" s="307"/>
      <c r="N67" s="307"/>
      <c r="O67" s="307"/>
      <c r="P67" s="307"/>
      <c r="Q67" s="307"/>
      <c r="R67" s="307"/>
      <c r="S67" s="307"/>
    </row>
    <row r="68" spans="10:19" hidden="1">
      <c r="J68" s="307"/>
      <c r="K68" s="307"/>
      <c r="L68" s="307"/>
      <c r="M68" s="307"/>
      <c r="N68" s="307"/>
      <c r="O68" s="307"/>
      <c r="P68" s="307"/>
      <c r="Q68" s="307"/>
      <c r="R68" s="307"/>
      <c r="S68" s="307"/>
    </row>
    <row r="69" spans="10:19" hidden="1">
      <c r="J69" s="307"/>
      <c r="K69" s="307"/>
      <c r="L69" s="307"/>
      <c r="M69" s="307"/>
      <c r="N69" s="307"/>
      <c r="O69" s="307"/>
      <c r="P69" s="307"/>
      <c r="Q69" s="307"/>
      <c r="R69" s="307"/>
      <c r="S69" s="307"/>
    </row>
    <row r="70" spans="10:19" hidden="1">
      <c r="J70" s="307"/>
      <c r="K70" s="307"/>
      <c r="L70" s="307"/>
      <c r="M70" s="307"/>
      <c r="N70" s="307"/>
      <c r="O70" s="307"/>
      <c r="P70" s="307"/>
      <c r="Q70" s="307"/>
      <c r="R70" s="307"/>
      <c r="S70" s="307"/>
    </row>
    <row r="71" spans="10:19" hidden="1">
      <c r="J71" s="307"/>
      <c r="K71" s="307"/>
      <c r="L71" s="307"/>
      <c r="M71" s="307"/>
      <c r="N71" s="307"/>
      <c r="O71" s="307"/>
      <c r="P71" s="307"/>
      <c r="Q71" s="307"/>
      <c r="R71" s="307"/>
      <c r="S71" s="307"/>
    </row>
    <row r="72" spans="10:19" hidden="1">
      <c r="J72" s="307"/>
      <c r="K72" s="307"/>
      <c r="L72" s="307"/>
      <c r="M72" s="307"/>
      <c r="N72" s="307"/>
      <c r="O72" s="307"/>
      <c r="P72" s="307"/>
      <c r="Q72" s="307"/>
      <c r="R72" s="307"/>
      <c r="S72" s="307"/>
    </row>
    <row r="73" spans="10:19" hidden="1">
      <c r="J73" s="307"/>
      <c r="K73" s="307"/>
      <c r="L73" s="307"/>
      <c r="M73" s="307"/>
      <c r="N73" s="307"/>
      <c r="O73" s="307"/>
      <c r="P73" s="307"/>
      <c r="Q73" s="307"/>
      <c r="R73" s="307"/>
      <c r="S73" s="307"/>
    </row>
    <row r="74" spans="10:19" hidden="1">
      <c r="J74" s="307"/>
      <c r="K74" s="307"/>
      <c r="L74" s="307"/>
      <c r="M74" s="307"/>
      <c r="N74" s="307"/>
      <c r="O74" s="307"/>
      <c r="P74" s="307"/>
      <c r="Q74" s="307"/>
      <c r="R74" s="307"/>
      <c r="S74" s="307"/>
    </row>
    <row r="75" spans="10:19" hidden="1">
      <c r="J75" s="307"/>
      <c r="K75" s="307"/>
      <c r="L75" s="307"/>
      <c r="M75" s="307"/>
      <c r="N75" s="307"/>
      <c r="O75" s="307"/>
      <c r="P75" s="307"/>
      <c r="Q75" s="307"/>
      <c r="R75" s="307"/>
      <c r="S75" s="307"/>
    </row>
    <row r="76" spans="10:19" hidden="1">
      <c r="J76" s="307"/>
      <c r="K76" s="307"/>
      <c r="L76" s="307"/>
      <c r="M76" s="307"/>
      <c r="N76" s="307"/>
      <c r="O76" s="307"/>
      <c r="P76" s="307"/>
      <c r="Q76" s="307"/>
      <c r="R76" s="307"/>
      <c r="S76" s="307"/>
    </row>
    <row r="77" spans="10:19" hidden="1">
      <c r="J77" s="307"/>
      <c r="K77" s="307"/>
      <c r="L77" s="307"/>
      <c r="M77" s="307"/>
      <c r="N77" s="307"/>
      <c r="O77" s="307"/>
      <c r="P77" s="307"/>
      <c r="Q77" s="307"/>
      <c r="R77" s="307"/>
      <c r="S77" s="307"/>
    </row>
    <row r="78" spans="10:19" hidden="1">
      <c r="J78" s="307"/>
      <c r="K78" s="307"/>
      <c r="L78" s="307"/>
      <c r="M78" s="307"/>
      <c r="N78" s="307"/>
      <c r="O78" s="307"/>
      <c r="P78" s="307"/>
      <c r="Q78" s="307"/>
      <c r="R78" s="307"/>
      <c r="S78" s="307"/>
    </row>
    <row r="79" spans="10:19" hidden="1">
      <c r="J79" s="307"/>
      <c r="K79" s="307"/>
      <c r="L79" s="307"/>
      <c r="M79" s="307"/>
      <c r="N79" s="307"/>
      <c r="O79" s="307"/>
      <c r="P79" s="307"/>
      <c r="Q79" s="307"/>
      <c r="R79" s="307"/>
      <c r="S79" s="307"/>
    </row>
    <row r="80" spans="10:19" hidden="1">
      <c r="J80" s="307"/>
      <c r="K80" s="307"/>
      <c r="L80" s="307"/>
      <c r="M80" s="307"/>
      <c r="N80" s="307"/>
      <c r="O80" s="307"/>
      <c r="P80" s="307"/>
      <c r="Q80" s="307"/>
      <c r="R80" s="307"/>
      <c r="S80" s="307"/>
    </row>
    <row r="81" spans="10:19" hidden="1">
      <c r="J81" s="307"/>
      <c r="K81" s="307"/>
      <c r="L81" s="307"/>
      <c r="M81" s="307"/>
      <c r="N81" s="307"/>
      <c r="O81" s="307"/>
      <c r="P81" s="307"/>
      <c r="Q81" s="307"/>
      <c r="R81" s="307"/>
      <c r="S81" s="307"/>
    </row>
    <row r="82" spans="10:19" hidden="1">
      <c r="J82" s="307"/>
      <c r="K82" s="307"/>
      <c r="L82" s="307"/>
      <c r="M82" s="307"/>
      <c r="N82" s="307"/>
      <c r="O82" s="307"/>
      <c r="P82" s="307"/>
      <c r="Q82" s="307"/>
      <c r="R82" s="307"/>
      <c r="S82" s="307"/>
    </row>
    <row r="83" spans="10:19" hidden="1">
      <c r="J83" s="307"/>
      <c r="K83" s="307"/>
      <c r="L83" s="307"/>
      <c r="M83" s="307"/>
      <c r="N83" s="307"/>
      <c r="O83" s="307"/>
      <c r="P83" s="307"/>
      <c r="Q83" s="307"/>
      <c r="R83" s="307"/>
      <c r="S83" s="307"/>
    </row>
    <row r="84" spans="10:19" hidden="1">
      <c r="J84" s="307"/>
      <c r="K84" s="307"/>
      <c r="L84" s="307"/>
      <c r="M84" s="307"/>
      <c r="N84" s="307"/>
      <c r="O84" s="307"/>
      <c r="P84" s="307"/>
      <c r="Q84" s="307"/>
      <c r="R84" s="307"/>
      <c r="S84" s="307"/>
    </row>
    <row r="85" spans="10:19" hidden="1">
      <c r="J85" s="307"/>
      <c r="K85" s="307"/>
      <c r="L85" s="307"/>
      <c r="M85" s="307"/>
      <c r="N85" s="307"/>
      <c r="O85" s="307"/>
      <c r="P85" s="307"/>
      <c r="Q85" s="307"/>
      <c r="R85" s="307"/>
      <c r="S85" s="307"/>
    </row>
    <row r="86" spans="10:19" hidden="1">
      <c r="J86" s="307"/>
      <c r="K86" s="307"/>
      <c r="L86" s="307"/>
      <c r="M86" s="307"/>
      <c r="N86" s="307"/>
      <c r="O86" s="307"/>
      <c r="P86" s="307"/>
      <c r="Q86" s="307"/>
      <c r="R86" s="307"/>
      <c r="S86" s="307"/>
    </row>
    <row r="87" spans="10:19" hidden="1">
      <c r="J87" s="307"/>
      <c r="K87" s="307"/>
      <c r="L87" s="307"/>
      <c r="M87" s="307"/>
      <c r="N87" s="307"/>
      <c r="O87" s="307"/>
      <c r="P87" s="307"/>
      <c r="Q87" s="307"/>
      <c r="R87" s="307"/>
      <c r="S87" s="307"/>
    </row>
    <row r="88" spans="10:19" hidden="1">
      <c r="J88" s="307"/>
      <c r="K88" s="307"/>
      <c r="L88" s="307"/>
      <c r="M88" s="307"/>
      <c r="N88" s="307"/>
      <c r="O88" s="307"/>
      <c r="P88" s="307"/>
      <c r="Q88" s="307"/>
      <c r="R88" s="307"/>
      <c r="S88" s="307"/>
    </row>
    <row r="89" spans="10:19" hidden="1">
      <c r="J89" s="307"/>
      <c r="K89" s="307"/>
      <c r="L89" s="307"/>
      <c r="M89" s="307"/>
      <c r="N89" s="307"/>
      <c r="O89" s="307"/>
      <c r="P89" s="307"/>
      <c r="Q89" s="307"/>
      <c r="R89" s="307"/>
      <c r="S89" s="307"/>
    </row>
    <row r="90" spans="10:19" hidden="1">
      <c r="J90" s="307"/>
      <c r="K90" s="307"/>
      <c r="L90" s="307"/>
      <c r="M90" s="307"/>
      <c r="N90" s="307"/>
      <c r="O90" s="307"/>
      <c r="P90" s="307"/>
      <c r="Q90" s="307"/>
      <c r="R90" s="307"/>
      <c r="S90" s="307"/>
    </row>
    <row r="91" spans="10:19" hidden="1">
      <c r="J91" s="307"/>
      <c r="K91" s="307"/>
      <c r="L91" s="307"/>
      <c r="M91" s="307"/>
      <c r="N91" s="307"/>
      <c r="O91" s="307"/>
      <c r="P91" s="307"/>
      <c r="Q91" s="307"/>
      <c r="R91" s="307"/>
      <c r="S91" s="307"/>
    </row>
    <row r="92" spans="10:19" hidden="1">
      <c r="J92" s="307"/>
      <c r="K92" s="307"/>
      <c r="L92" s="307"/>
      <c r="M92" s="307"/>
      <c r="N92" s="307"/>
      <c r="O92" s="307"/>
      <c r="P92" s="307"/>
      <c r="Q92" s="307"/>
      <c r="R92" s="307"/>
      <c r="S92" s="307"/>
    </row>
    <row r="93" spans="10:19" hidden="1">
      <c r="J93" s="307"/>
      <c r="K93" s="307"/>
      <c r="L93" s="307"/>
      <c r="M93" s="307"/>
      <c r="N93" s="307"/>
      <c r="O93" s="307"/>
      <c r="P93" s="307"/>
      <c r="Q93" s="307"/>
      <c r="R93" s="307"/>
      <c r="S93" s="307"/>
    </row>
    <row r="94" spans="10:19" hidden="1">
      <c r="J94" s="307"/>
      <c r="K94" s="307"/>
      <c r="L94" s="307"/>
      <c r="M94" s="307"/>
      <c r="N94" s="307"/>
      <c r="O94" s="307"/>
      <c r="P94" s="307"/>
      <c r="Q94" s="307"/>
      <c r="R94" s="307"/>
      <c r="S94" s="307"/>
    </row>
    <row r="95" spans="10:19" hidden="1">
      <c r="J95" s="307"/>
      <c r="K95" s="307"/>
      <c r="L95" s="307"/>
      <c r="M95" s="307"/>
      <c r="N95" s="307"/>
      <c r="O95" s="307"/>
      <c r="P95" s="307"/>
      <c r="Q95" s="307"/>
      <c r="R95" s="307"/>
      <c r="S95" s="307"/>
    </row>
    <row r="96" spans="10:19" ht="13.8" customHeight="1"/>
    <row r="102" hidden="1"/>
    <row r="103" hidden="1"/>
    <row r="104" ht="13.8" customHeight="1"/>
  </sheetData>
  <phoneticPr fontId="5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E0D5-AFE7-4217-9DBB-94D4FF20EA3D}">
  <sheetPr codeName="Sheet2">
    <pageSetUpPr fitToPage="1"/>
  </sheetPr>
  <dimension ref="A1:V253"/>
  <sheetViews>
    <sheetView showGridLines="0" zoomScale="70" zoomScaleNormal="70" workbookViewId="0">
      <selection activeCell="F49" sqref="F49"/>
    </sheetView>
  </sheetViews>
  <sheetFormatPr defaultColWidth="0" defaultRowHeight="13.8" zeroHeight="1" outlineLevelRow="1" outlineLevelCol="1"/>
  <cols>
    <col min="1" max="5" width="3.875" customWidth="1"/>
    <col min="6" max="6" width="15.25" customWidth="1"/>
    <col min="7" max="7" width="9.125" customWidth="1"/>
    <col min="8" max="16" width="12.625" customWidth="1"/>
    <col min="17" max="17" width="12.625" hidden="1" customWidth="1" outlineLevel="1"/>
    <col min="18" max="18" width="12.625" customWidth="1" collapsed="1"/>
    <col min="19" max="19" width="12.625" customWidth="1"/>
    <col min="20" max="20" width="1.375" customWidth="1"/>
    <col min="21" max="21" width="97.25" customWidth="1"/>
    <col min="22" max="22" width="2.125" customWidth="1"/>
    <col min="23" max="23" width="8.625" hidden="1" customWidth="1"/>
    <col min="24" max="16384" width="8.625" hidden="1"/>
  </cols>
  <sheetData>
    <row r="1" spans="2:21">
      <c r="Q1" s="131">
        <f>J3</f>
        <v>46387</v>
      </c>
      <c r="R1" s="131">
        <f>L3</f>
        <v>47118</v>
      </c>
      <c r="S1" s="131">
        <f>P3</f>
        <v>48579</v>
      </c>
    </row>
    <row r="2" spans="2:21">
      <c r="B2" s="78" t="str">
        <f>"SCENARIO: "&amp;LBO!I20</f>
        <v>SCENARIO: 1</v>
      </c>
      <c r="C2" s="78"/>
      <c r="D2" s="78"/>
      <c r="E2" s="78"/>
      <c r="F2" s="78"/>
      <c r="H2" s="79" t="str">
        <f>LBO!I6</f>
        <v>Actual</v>
      </c>
      <c r="I2" s="79" t="str">
        <f>LBO!J6</f>
        <v>Actual</v>
      </c>
      <c r="J2" s="79" t="str">
        <f>LBO!K6</f>
        <v>Outlook</v>
      </c>
      <c r="K2" s="79" t="str">
        <f>LBO!L6</f>
        <v>Forecast</v>
      </c>
      <c r="L2" s="79" t="str">
        <f>LBO!M6</f>
        <v>Forecast</v>
      </c>
      <c r="M2" s="79" t="str">
        <f>LBO!N6</f>
        <v>Forecast</v>
      </c>
      <c r="N2" s="79" t="str">
        <f>LBO!O6</f>
        <v>Forecast</v>
      </c>
      <c r="O2" s="79" t="str">
        <f>LBO!P6</f>
        <v>Forecast</v>
      </c>
      <c r="P2" s="79" t="str">
        <f>LBO!Q6</f>
        <v>Forecast</v>
      </c>
      <c r="Q2" s="79" t="str">
        <f>P2</f>
        <v>Forecast</v>
      </c>
      <c r="R2" s="71" t="s">
        <v>17</v>
      </c>
      <c r="S2" s="71"/>
      <c r="U2" s="78" t="s">
        <v>270</v>
      </c>
    </row>
    <row r="3" spans="2:21" s="78" customFormat="1">
      <c r="B3" s="78" t="s">
        <v>123</v>
      </c>
      <c r="G3" s="182" t="s">
        <v>277</v>
      </c>
      <c r="H3" s="81">
        <f>LBO!I5</f>
        <v>45657</v>
      </c>
      <c r="I3" s="81">
        <f>LBO!J5</f>
        <v>46022</v>
      </c>
      <c r="J3" s="81">
        <f>LBO!K5</f>
        <v>46387</v>
      </c>
      <c r="K3" s="81">
        <f>LBO!L5</f>
        <v>46752</v>
      </c>
      <c r="L3" s="81">
        <f>LBO!M5</f>
        <v>47118</v>
      </c>
      <c r="M3" s="81">
        <f>LBO!N5</f>
        <v>47483</v>
      </c>
      <c r="N3" s="81">
        <f>LBO!O5</f>
        <v>47848</v>
      </c>
      <c r="O3" s="81">
        <f>LBO!P5</f>
        <v>48213</v>
      </c>
      <c r="P3" s="81">
        <f>LBO!Q5</f>
        <v>48579</v>
      </c>
      <c r="Q3" s="81">
        <f>EDATE(P3,12)</f>
        <v>48944</v>
      </c>
      <c r="R3" s="72" t="str">
        <f>+TEXT(Q1,"'yy")&amp;" - "&amp;TEXT(R1,"'yy")</f>
        <v>'26 - '28</v>
      </c>
      <c r="S3" s="72" t="str">
        <f>+TEXT(R1,"'yy")&amp;" - "&amp;TEXT(S1,"'yy")</f>
        <v>'28 - '32</v>
      </c>
    </row>
    <row r="4" spans="2:21">
      <c r="R4" s="204"/>
      <c r="S4" s="204"/>
    </row>
    <row r="5" spans="2:21" outlineLevel="1">
      <c r="B5" t="str">
        <f>+Client_FS!E6</f>
        <v>Revenue Core 1</v>
      </c>
      <c r="H5" s="31">
        <f>(SUMIFS(Client_FS!$J6:$S6,Client_FS!$J$4:$S$4,H$3))/1000000</f>
        <v>31.955913609999996</v>
      </c>
      <c r="I5" s="31">
        <f>(SUMIFS(Client_FS!$J6:$S6,Client_FS!$J$4:$S$4,I$3)+SUMIFS(Client_FS!$J8:$S8,Client_FS!$J$4:$S$4,I$3))/1000000</f>
        <v>54.498164377000002</v>
      </c>
      <c r="J5" s="31">
        <f>(SUMIFS(Client_FS!$J6:$S6,Client_FS!$J$4:$S$4,J$3)+SUMIFS(Client_FS!$J8:$S8,Client_FS!$J$4:$S$4,J$3))/1000000</f>
        <v>57.044852441910827</v>
      </c>
      <c r="K5" s="31">
        <f>(SUMIFS(Client_FS!$J6:$S6,Client_FS!$J$4:$S$4,K$3)+SUMIFS(Client_FS!$J8:$S8,Client_FS!$J$4:$S$4,K$3))/1000000</f>
        <v>59.033725638699693</v>
      </c>
      <c r="L5" s="31">
        <f>(SUMIFS(Client_FS!$J6:$S6,Client_FS!$J$4:$S$4,L$3)+SUMIFS(Client_FS!$J8:$S8,Client_FS!$J$4:$S$4,L$3))/1000000</f>
        <v>61.017354697672793</v>
      </c>
      <c r="M5" s="31">
        <f>(SUMIFS(Client_FS!$J6:$S6,Client_FS!$J$4:$S$4,M$3)+SUMIFS(Client_FS!$J8:$S8,Client_FS!$J$4:$S$4,M$3))/1000000</f>
        <v>63.522794798879545</v>
      </c>
      <c r="N5" s="31">
        <f>(SUMIFS(Client_FS!$J6:$S6,Client_FS!$J$4:$S$4,N$3)+SUMIFS(Client_FS!$J8:$S8,Client_FS!$J$4:$S$4,N$3))/1000000</f>
        <v>65.615313777115674</v>
      </c>
      <c r="O5" s="31">
        <f>(SUMIFS(Client_FS!$J6:$S6,Client_FS!$J$4:$S$4,O$3)+SUMIFS(Client_FS!$J8:$S8,Client_FS!$J$4:$S$4,O$3))/1000000</f>
        <v>67.777914997852122</v>
      </c>
      <c r="P5" s="31">
        <f>(SUMIFS(Client_FS!$J6:$S6,Client_FS!$J$4:$S$4,P$3)+SUMIFS(Client_FS!$J8:$S8,Client_FS!$J$4:$S$4,P$3))/1000000</f>
        <v>69.941335568417188</v>
      </c>
      <c r="Q5" s="31"/>
      <c r="R5" s="204"/>
      <c r="S5" s="204"/>
    </row>
    <row r="6" spans="2:21" outlineLevel="1">
      <c r="B6" t="str">
        <f>+Client_FS!E7</f>
        <v>Revenue Expansion 1</v>
      </c>
      <c r="G6" s="182">
        <f>+LBO!I17</f>
        <v>0</v>
      </c>
      <c r="H6" s="31">
        <f>(SUMIFS(Client_FS!$J7:$S7,Client_FS!$J$4:$S$4,H$3))/1000000*$G6</f>
        <v>0</v>
      </c>
      <c r="I6" s="31">
        <f>(SUMIFS(Client_FS!$J7:$S7,Client_FS!$J$4:$S$4,I$3))/1000000*$G6</f>
        <v>0</v>
      </c>
      <c r="J6" s="31">
        <f>(SUMIFS(Client_FS!$J7:$S7,Client_FS!$J$4:$S$4,J$3))/1000000*$G6</f>
        <v>0</v>
      </c>
      <c r="K6" s="31">
        <f>(SUMIFS(Client_FS!$J7:$S7,Client_FS!$J$4:$S$4,K$3))/1000000*$G6</f>
        <v>0</v>
      </c>
      <c r="L6" s="31">
        <f>(SUMIFS(Client_FS!$J7:$S7,Client_FS!$J$4:$S$4,L$3))/1000000*$G6</f>
        <v>0</v>
      </c>
      <c r="M6" s="31">
        <f>(SUMIFS(Client_FS!$J7:$S7,Client_FS!$J$4:$S$4,M$3))/1000000*$G6</f>
        <v>0</v>
      </c>
      <c r="N6" s="31">
        <f>(SUMIFS(Client_FS!$J7:$S7,Client_FS!$J$4:$S$4,N$3))/1000000*$G6</f>
        <v>0</v>
      </c>
      <c r="O6" s="31">
        <f>(SUMIFS(Client_FS!$J7:$S7,Client_FS!$J$4:$S$4,O$3))/1000000*$G6</f>
        <v>0</v>
      </c>
      <c r="P6" s="31">
        <f>(SUMIFS(Client_FS!$J7:$S7,Client_FS!$J$4:$S$4,P$3))/1000000*$G6</f>
        <v>0</v>
      </c>
      <c r="Q6" s="31"/>
      <c r="R6" s="204"/>
      <c r="S6" s="204"/>
    </row>
    <row r="7" spans="2:21" outlineLevel="1">
      <c r="B7" t="str">
        <f>+Client_FS!E8</f>
        <v>Revenue Core 2</v>
      </c>
      <c r="H7" s="31">
        <f>+SUMIFS(Client_FS!$J8:$S8,Client_FS!$J$4:$S$4,H$3)/1000000</f>
        <v>18.856416329999998</v>
      </c>
      <c r="I7" s="31">
        <f>+SUMIFS(Client_FS!$J8:$S8,Client_FS!$J$4:$S$4,I$3)/1000000</f>
        <v>20.147808897000001</v>
      </c>
      <c r="J7" s="31">
        <f>+SUMIFS(Client_FS!$J8:$S8,Client_FS!$J$4:$S$4,J$3)/1000000</f>
        <v>20.9837787063436</v>
      </c>
      <c r="K7" s="31">
        <f>+SUMIFS(Client_FS!$J8:$S8,Client_FS!$J$4:$S$4,K$3)/1000000</f>
        <v>21.82312985459734</v>
      </c>
      <c r="L7" s="31">
        <f>+SUMIFS(Client_FS!$J8:$S8,Client_FS!$J$4:$S$4,L$3)/1000000</f>
        <v>22.69605504878124</v>
      </c>
      <c r="M7" s="31">
        <f>+SUMIFS(Client_FS!$J8:$S8,Client_FS!$J$4:$S$4,M$3)/1000000</f>
        <v>24.057818351708114</v>
      </c>
      <c r="N7" s="31">
        <f>+SUMIFS(Client_FS!$J8:$S8,Client_FS!$J$4:$S$4,N$3)/1000000</f>
        <v>24.972015449073023</v>
      </c>
      <c r="O7" s="31">
        <f>+SUMIFS(Client_FS!$J8:$S8,Client_FS!$J$4:$S$4,O$3)/1000000</f>
        <v>25.920952036137798</v>
      </c>
      <c r="P7" s="31">
        <f>+SUMIFS(Client_FS!$J8:$S8,Client_FS!$J$4:$S$4,P$3)/1000000</f>
        <v>26.905948213511035</v>
      </c>
      <c r="Q7" s="31"/>
      <c r="R7" s="204"/>
      <c r="S7" s="204"/>
    </row>
    <row r="8" spans="2:21" outlineLevel="1">
      <c r="B8" t="str">
        <f>+Client_FS!E9</f>
        <v>Revenue Expansion 2</v>
      </c>
      <c r="G8" s="182">
        <f>+LBO!I18</f>
        <v>0</v>
      </c>
      <c r="H8" s="31">
        <f>(SUMIFS(Client_FS!$J9:$S9,Client_FS!$J$4:$S$4,H$3))/1000000*$G8</f>
        <v>0</v>
      </c>
      <c r="I8" s="31">
        <f>(SUMIFS(Client_FS!$J9:$S9,Client_FS!$J$4:$S$4,I$3))/1000000*$G8</f>
        <v>0</v>
      </c>
      <c r="J8" s="31">
        <f>(SUMIFS(Client_FS!$J9:$S9,Client_FS!$J$4:$S$4,J$3))/1000000*$G8</f>
        <v>0</v>
      </c>
      <c r="K8" s="31">
        <f>(SUMIFS(Client_FS!$J9:$S9,Client_FS!$J$4:$S$4,K$3))/1000000*$G8</f>
        <v>0</v>
      </c>
      <c r="L8" s="31">
        <f>(SUMIFS(Client_FS!$J9:$S9,Client_FS!$J$4:$S$4,L$3))/1000000*$G8</f>
        <v>0</v>
      </c>
      <c r="M8" s="31">
        <f>(SUMIFS(Client_FS!$J9:$S9,Client_FS!$J$4:$S$4,M$3))/1000000*$G8</f>
        <v>0</v>
      </c>
      <c r="N8" s="31">
        <f>(SUMIFS(Client_FS!$J9:$S9,Client_FS!$J$4:$S$4,N$3))/1000000*$G8</f>
        <v>0</v>
      </c>
      <c r="O8" s="31">
        <f>(SUMIFS(Client_FS!$J9:$S9,Client_FS!$J$4:$S$4,O$3))/1000000*$G8</f>
        <v>0</v>
      </c>
      <c r="P8" s="31">
        <f>(SUMIFS(Client_FS!$J9:$S9,Client_FS!$J$4:$S$4,P$3))/1000000*$G8</f>
        <v>0</v>
      </c>
      <c r="Q8" s="31"/>
      <c r="R8" s="204"/>
      <c r="S8" s="204"/>
    </row>
    <row r="9" spans="2:21" outlineLevel="1">
      <c r="B9" t="str">
        <f>+Client_FS!E10</f>
        <v>M&amp;A Revenue</v>
      </c>
      <c r="G9" s="182">
        <f>+LBO!I21</f>
        <v>0</v>
      </c>
      <c r="H9" s="31">
        <f>(SUMIFS(Client_FS!$J10:$S10,Client_FS!$J$4:$S$4,H$3))/1000000*$G9</f>
        <v>0</v>
      </c>
      <c r="I9" s="31">
        <f>(SUMIFS(Client_FS!$J10:$S10,Client_FS!$J$4:$S$4,I$3))/1000000*$G9</f>
        <v>0</v>
      </c>
      <c r="J9" s="31">
        <f>(SUMIFS(Client_FS!$J10:$S10,Client_FS!$J$4:$S$4,J$3))/1000000*$G9</f>
        <v>0</v>
      </c>
      <c r="K9" s="31">
        <f>(SUMIFS(Client_FS!$J10:$S10,Client_FS!$J$4:$S$4,K$3))/1000000*$G9</f>
        <v>0</v>
      </c>
      <c r="L9" s="31">
        <f>(SUMIFS(Client_FS!$J10:$S10,Client_FS!$J$4:$S$4,L$3))/1000000*$G9</f>
        <v>0</v>
      </c>
      <c r="M9" s="31">
        <f>(SUMIFS(Client_FS!$J10:$S10,Client_FS!$J$4:$S$4,M$3))/1000000*$G9</f>
        <v>0</v>
      </c>
      <c r="N9" s="31">
        <f>(SUMIFS(Client_FS!$J10:$S10,Client_FS!$J$4:$S$4,N$3))/1000000*$G9</f>
        <v>0</v>
      </c>
      <c r="O9" s="31">
        <f>(SUMIFS(Client_FS!$J10:$S10,Client_FS!$J$4:$S$4,O$3))/1000000*$G9</f>
        <v>0</v>
      </c>
      <c r="P9" s="31">
        <f>(SUMIFS(Client_FS!$J10:$S10,Client_FS!$J$4:$S$4,P$3))/1000000*$G9</f>
        <v>0</v>
      </c>
      <c r="Q9" s="31"/>
      <c r="R9" s="204"/>
      <c r="S9" s="204"/>
    </row>
    <row r="10" spans="2:21" s="78" customFormat="1">
      <c r="B10" s="74" t="s">
        <v>154</v>
      </c>
      <c r="H10" s="33">
        <f>SUM(H5:H9)</f>
        <v>50.812329939999998</v>
      </c>
      <c r="I10" s="33">
        <f t="shared" ref="I10:P10" si="0">SUM(I5:I9)</f>
        <v>74.645973273999999</v>
      </c>
      <c r="J10" s="33">
        <f t="shared" si="0"/>
        <v>78.028631148254419</v>
      </c>
      <c r="K10" s="33">
        <f t="shared" si="0"/>
        <v>80.856855493297033</v>
      </c>
      <c r="L10" s="33">
        <f t="shared" si="0"/>
        <v>83.713409746454033</v>
      </c>
      <c r="M10" s="33">
        <f t="shared" si="0"/>
        <v>87.580613150587652</v>
      </c>
      <c r="N10" s="33">
        <f t="shared" si="0"/>
        <v>90.5873292261887</v>
      </c>
      <c r="O10" s="33">
        <f t="shared" si="0"/>
        <v>93.698867033989927</v>
      </c>
      <c r="P10" s="33">
        <f t="shared" si="0"/>
        <v>96.847283781928226</v>
      </c>
      <c r="Q10" s="33">
        <f>P10*(1+Q11)</f>
        <v>100.10149186259527</v>
      </c>
      <c r="R10" s="205"/>
      <c r="S10" s="205"/>
    </row>
    <row r="11" spans="2:21" s="112" customFormat="1">
      <c r="B11" s="70" t="s">
        <v>144</v>
      </c>
      <c r="H11" s="113" t="str">
        <f t="shared" ref="H11:P11" si="1">IFERROR(H10/G10-1,"")</f>
        <v/>
      </c>
      <c r="I11" s="113">
        <f t="shared" si="1"/>
        <v>0.46905236115216797</v>
      </c>
      <c r="J11" s="113">
        <f t="shared" si="1"/>
        <v>4.5316012718299437E-2</v>
      </c>
      <c r="K11" s="113">
        <f t="shared" si="1"/>
        <v>3.6245981807228933E-2</v>
      </c>
      <c r="L11" s="113">
        <f t="shared" si="1"/>
        <v>3.5328535047888465E-2</v>
      </c>
      <c r="M11" s="113">
        <f t="shared" si="1"/>
        <v>4.6195745888817141E-2</v>
      </c>
      <c r="N11" s="113">
        <f t="shared" si="1"/>
        <v>3.4330840667114781E-2</v>
      </c>
      <c r="O11" s="113">
        <f t="shared" si="1"/>
        <v>3.4348488186819015E-2</v>
      </c>
      <c r="P11" s="113">
        <f t="shared" si="1"/>
        <v>3.3601438817784102E-2</v>
      </c>
      <c r="Q11" s="114">
        <f>P11</f>
        <v>3.3601438817784102E-2</v>
      </c>
      <c r="R11" s="204"/>
      <c r="S11" s="204"/>
    </row>
    <row r="12" spans="2:21">
      <c r="R12" s="204"/>
      <c r="S12" s="204"/>
    </row>
    <row r="13" spans="2:21" outlineLevel="1">
      <c r="B13" t="str">
        <f>+Client_FS!E13</f>
        <v>EBITDA Core 1</v>
      </c>
      <c r="H13" s="31">
        <f>(SUMIFS(Client_FS!$J13:$S13,Client_FS!$J$4:$S$4,H$3)/1000000)</f>
        <v>5.1354023900000003</v>
      </c>
      <c r="I13" s="31">
        <f>(SUMIFS(Client_FS!$J13:$S13,Client_FS!$J$4:$S$4,I$3)/1000000)</f>
        <v>5.6112665000000019</v>
      </c>
      <c r="J13" s="31">
        <f>(SUMIFS(Client_FS!$J13:$S13,Client_FS!$J$4:$S$4,J$3)/1000000)</f>
        <v>5.6589344020113099</v>
      </c>
      <c r="K13" s="31">
        <f>(SUMIFS(Client_FS!$J13:$S13,Client_FS!$J$4:$S$4,K$3)/1000000)</f>
        <v>5.7433221618650876</v>
      </c>
      <c r="L13" s="31">
        <f>(SUMIFS(Client_FS!$J13:$S13,Client_FS!$J$4:$S$4,L$3)/1000000)</f>
        <v>5.8987156734269819</v>
      </c>
      <c r="M13" s="31">
        <f>(SUMIFS(Client_FS!$J13:$S13,Client_FS!$J$4:$S$4,M$3)/1000000)</f>
        <v>6.1084201673825866</v>
      </c>
      <c r="N13" s="31">
        <f>(SUMIFS(Client_FS!$J13:$S13,Client_FS!$J$4:$S$4,N$3)/1000000)</f>
        <v>6.3288019060135863</v>
      </c>
      <c r="O13" s="31">
        <f>(SUMIFS(Client_FS!$J13:$S13,Client_FS!$J$4:$S$4,O$3)/1000000)</f>
        <v>6.5368276069719471</v>
      </c>
      <c r="P13" s="31">
        <f>(SUMIFS(Client_FS!$J13:$S13,Client_FS!$J$4:$S$4,P$3)/1000000)</f>
        <v>6.7330813978060835</v>
      </c>
      <c r="Q13" s="31"/>
      <c r="R13" s="204"/>
      <c r="S13" s="204"/>
    </row>
    <row r="14" spans="2:21" outlineLevel="1">
      <c r="B14" t="str">
        <f>+Client_FS!E15</f>
        <v>EBITDA Core 2</v>
      </c>
      <c r="H14" s="31">
        <f>+SUMIFS(Client_FS!$J15:$S15,Client_FS!$J$4:$S$4,H$3)/1000000</f>
        <v>4.5648818099999975</v>
      </c>
      <c r="I14" s="31">
        <f>+SUMIFS(Client_FS!$J15:$S15,Client_FS!$J$4:$S$4,I$3)/1000000</f>
        <v>4.9583509669999986</v>
      </c>
      <c r="J14" s="31">
        <f>+SUMIFS(Client_FS!$J15:$S15,Client_FS!$J$4:$S$4,J$3)/1000000</f>
        <v>5.3838447757140635</v>
      </c>
      <c r="K14" s="31">
        <f>+SUMIFS(Client_FS!$J15:$S15,Client_FS!$J$4:$S$4,K$3)/1000000</f>
        <v>5.6580953721378968</v>
      </c>
      <c r="L14" s="31">
        <f>+SUMIFS(Client_FS!$J15:$S15,Client_FS!$J$4:$S$4,L$3)/1000000</f>
        <v>6.0730600990569581</v>
      </c>
      <c r="M14" s="31">
        <f>+SUMIFS(Client_FS!$J15:$S15,Client_FS!$J$4:$S$4,M$3)/1000000</f>
        <v>6.4037205298589042</v>
      </c>
      <c r="N14" s="31">
        <f>+SUMIFS(Client_FS!$J15:$S15,Client_FS!$J$4:$S$4,N$3)/1000000</f>
        <v>6.8085126415305979</v>
      </c>
      <c r="O14" s="31">
        <f>+SUMIFS(Client_FS!$J15:$S15,Client_FS!$J$4:$S$4,O$3)/1000000</f>
        <v>7.227678704577027</v>
      </c>
      <c r="P14" s="31">
        <f>+SUMIFS(Client_FS!$J15:$S15,Client_FS!$J$4:$S$4,P$3)/1000000</f>
        <v>7.6615681402442339</v>
      </c>
      <c r="Q14" s="31"/>
      <c r="R14" s="204"/>
      <c r="S14" s="204"/>
    </row>
    <row r="15" spans="2:21" outlineLevel="1">
      <c r="B15" t="str">
        <f>+Client_FS!E14</f>
        <v>EBITDA Expansion 1</v>
      </c>
      <c r="G15" s="182">
        <f>+LBO!I17</f>
        <v>0</v>
      </c>
      <c r="H15" s="31">
        <f>$G$15*(SUMIFS(Client_FS!$J14:$S14,Client_FS!$J$4:$S$4,H$3)/1000000)</f>
        <v>0</v>
      </c>
      <c r="I15" s="31">
        <f>$G$15*(SUMIFS(Client_FS!$J14:$S14,Client_FS!$J$4:$S$4,I$3)/1000000)</f>
        <v>0</v>
      </c>
      <c r="J15" s="31">
        <f>$G$15*(SUMIFS(Client_FS!$J14:$S14,Client_FS!$J$4:$S$4,J$3)/1000000)</f>
        <v>0</v>
      </c>
      <c r="K15" s="31">
        <f>$G$15*(SUMIFS(Client_FS!$J14:$S14,Client_FS!$J$4:$S$4,K$3)/1000000)</f>
        <v>0</v>
      </c>
      <c r="L15" s="31">
        <f>$G$15*(SUMIFS(Client_FS!$J14:$S14,Client_FS!$J$4:$S$4,L$3)/1000000)</f>
        <v>0</v>
      </c>
      <c r="M15" s="31">
        <f>$G$15*(SUMIFS(Client_FS!$J14:$S14,Client_FS!$J$4:$S$4,M$3)/1000000)</f>
        <v>0</v>
      </c>
      <c r="N15" s="31">
        <f>$G$15*(SUMIFS(Client_FS!$J14:$S14,Client_FS!$J$4:$S$4,N$3)/1000000)</f>
        <v>0</v>
      </c>
      <c r="O15" s="31">
        <f>$G$15*(SUMIFS(Client_FS!$J14:$S14,Client_FS!$J$4:$S$4,O$3)/1000000)</f>
        <v>0</v>
      </c>
      <c r="P15" s="31">
        <f>$G$15*(SUMIFS(Client_FS!$J14:$S14,Client_FS!$J$4:$S$4,P$3)/1000000)</f>
        <v>0</v>
      </c>
      <c r="Q15" s="31"/>
      <c r="R15" s="204"/>
      <c r="S15" s="204"/>
    </row>
    <row r="16" spans="2:21" outlineLevel="1">
      <c r="B16" t="str">
        <f>+Client_FS!E16</f>
        <v>EBITDA Expansion 2</v>
      </c>
      <c r="G16" s="182">
        <f>+LBO!I18</f>
        <v>0</v>
      </c>
      <c r="H16" s="31">
        <f>$G$16*SUMIFS(Client_FS!$J16:$S16,Client_FS!$J$4:$S$4,H$3)/1000000</f>
        <v>0</v>
      </c>
      <c r="I16" s="31">
        <f>$G$16*SUMIFS(Client_FS!$J16:$S16,Client_FS!$J$4:$S$4,I$3)/1000000</f>
        <v>0</v>
      </c>
      <c r="J16" s="31">
        <f>$G$16*SUMIFS(Client_FS!$J16:$S16,Client_FS!$J$4:$S$4,J$3)/1000000</f>
        <v>0</v>
      </c>
      <c r="K16" s="31">
        <f>$G$16*SUMIFS(Client_FS!$J16:$S16,Client_FS!$J$4:$S$4,K$3)/1000000</f>
        <v>0</v>
      </c>
      <c r="L16" s="31">
        <f>$G$16*SUMIFS(Client_FS!$J16:$S16,Client_FS!$J$4:$S$4,L$3)/1000000</f>
        <v>0</v>
      </c>
      <c r="M16" s="31">
        <f>$G$16*SUMIFS(Client_FS!$J16:$S16,Client_FS!$J$4:$S$4,M$3)/1000000</f>
        <v>0</v>
      </c>
      <c r="N16" s="31">
        <f>$G$16*SUMIFS(Client_FS!$J16:$S16,Client_FS!$J$4:$S$4,N$3)/1000000</f>
        <v>0</v>
      </c>
      <c r="O16" s="31">
        <f>$G$16*SUMIFS(Client_FS!$J16:$S16,Client_FS!$J$4:$S$4,O$3)/1000000</f>
        <v>0</v>
      </c>
      <c r="P16" s="31">
        <f>$G$16*SUMIFS(Client_FS!$J16:$S16,Client_FS!$J$4:$S$4,P$3)/1000000</f>
        <v>0</v>
      </c>
      <c r="Q16" s="31"/>
      <c r="R16" s="204"/>
      <c r="S16" s="204"/>
    </row>
    <row r="17" spans="2:19" outlineLevel="1">
      <c r="B17" t="str">
        <f>+Client_FS!E17</f>
        <v>M&amp;A EBITDA</v>
      </c>
      <c r="G17" s="182">
        <f>+LBO!I19</f>
        <v>1</v>
      </c>
      <c r="H17" s="31">
        <f>$G$17*SUMIFS(Client_FS!$J17:$S17,Client_FS!$J$4:$S$4,H$3)/1000000</f>
        <v>0</v>
      </c>
      <c r="I17" s="31">
        <f>$G$17*SUMIFS(Client_FS!$J17:$S17,Client_FS!$J$4:$S$4,I$3)/1000000</f>
        <v>0</v>
      </c>
      <c r="J17" s="31">
        <f>$G$17*SUMIFS(Client_FS!$J17:$S17,Client_FS!$J$4:$S$4,J$3)/1000000</f>
        <v>0.25</v>
      </c>
      <c r="K17" s="31">
        <f>$G$17*SUMIFS(Client_FS!$J17:$S17,Client_FS!$J$4:$S$4,K$3)/1000000</f>
        <v>1</v>
      </c>
      <c r="L17" s="31">
        <f>$G$17*SUMIFS(Client_FS!$J17:$S17,Client_FS!$J$4:$S$4,L$3)/1000000</f>
        <v>1.03</v>
      </c>
      <c r="M17" s="31">
        <f>$G$17*SUMIFS(Client_FS!$J17:$S17,Client_FS!$J$4:$S$4,M$3)/1000000</f>
        <v>1.0609</v>
      </c>
      <c r="N17" s="31">
        <f>$G$17*SUMIFS(Client_FS!$J17:$S17,Client_FS!$J$4:$S$4,N$3)/1000000</f>
        <v>1.092727</v>
      </c>
      <c r="O17" s="31">
        <f>$G$17*SUMIFS(Client_FS!$J17:$S17,Client_FS!$J$4:$S$4,O$3)/1000000</f>
        <v>1.1255088100000001</v>
      </c>
      <c r="P17" s="31">
        <f>$G$17*SUMIFS(Client_FS!$J17:$S17,Client_FS!$J$4:$S$4,P$3)/1000000</f>
        <v>1.1592740743000001</v>
      </c>
      <c r="Q17" s="31"/>
      <c r="R17" s="204"/>
      <c r="S17" s="204"/>
    </row>
    <row r="18" spans="2:19" outlineLevel="1">
      <c r="B18" t="str">
        <f>+Client_FS!E18</f>
        <v>Staff efficiencies</v>
      </c>
      <c r="G18" s="182">
        <f>+LBO!I20</f>
        <v>1</v>
      </c>
      <c r="H18" s="31">
        <f>$G$18*SUMIFS(Client_FS!$J18:$S18,Client_FS!$J$4:$S$4,H$3)/1000000</f>
        <v>0</v>
      </c>
      <c r="I18" s="31">
        <f>$G$18*SUMIFS(Client_FS!$J18:$S18,Client_FS!$J$4:$S$4,I$3)/1000000</f>
        <v>0</v>
      </c>
      <c r="J18" s="31">
        <f>$G$18*SUMIFS(Client_FS!$J18:$S18,Client_FS!$J$4:$S$4,J$3)/1000000</f>
        <v>-1.6077250000000001E-2</v>
      </c>
      <c r="K18" s="31">
        <f>$G$18*SUMIFS(Client_FS!$J18:$S18,Client_FS!$J$4:$S$4,K$3)/1000000</f>
        <v>0.63555150000000005</v>
      </c>
      <c r="L18" s="31">
        <f>$G$18*SUMIFS(Client_FS!$J18:$S18,Client_FS!$J$4:$S$4,L$3)/1000000</f>
        <v>0.72931003999999999</v>
      </c>
      <c r="M18" s="31">
        <f>$G$18*SUMIFS(Client_FS!$J18:$S18,Client_FS!$J$4:$S$4,M$3)/1000000</f>
        <v>0.75118934120000003</v>
      </c>
      <c r="N18" s="31">
        <f>$G$18*SUMIFS(Client_FS!$J18:$S18,Client_FS!$J$4:$S$4,N$3)/1000000</f>
        <v>0.77372502143599997</v>
      </c>
      <c r="O18" s="31">
        <f>$G$18*SUMIFS(Client_FS!$J18:$S18,Client_FS!$J$4:$S$4,O$3)/1000000</f>
        <v>0.79693677207907998</v>
      </c>
      <c r="P18" s="31">
        <f>$G$18*SUMIFS(Client_FS!$J18:$S18,Client_FS!$J$4:$S$4,P$3)/1000000</f>
        <v>0.82084487524145233</v>
      </c>
      <c r="Q18" s="31"/>
      <c r="R18" s="204"/>
      <c r="S18" s="204"/>
    </row>
    <row r="19" spans="2:19" outlineLevel="1">
      <c r="B19" t="str">
        <f>+Client_FS!E19</f>
        <v>Family costs</v>
      </c>
      <c r="H19" s="31">
        <f>SUMIFS(Client_FS!$J19:$S19,Client_FS!$J$4:$S$4,H$3)/1000000</f>
        <v>0</v>
      </c>
      <c r="I19" s="31">
        <f>SUMIFS(Client_FS!$J19:$S19,Client_FS!$J$4:$S$4,I$3)/1000000</f>
        <v>0</v>
      </c>
      <c r="J19" s="31">
        <f>SUMIFS(Client_FS!$J19:$S19,Client_FS!$J$4:$S$4,J$3)/1000000</f>
        <v>0.20178328300000001</v>
      </c>
      <c r="K19" s="31">
        <f>SUMIFS(Client_FS!$J19:$S19,Client_FS!$J$4:$S$4,K$3)/1000000</f>
        <v>0.48427987919999999</v>
      </c>
      <c r="L19" s="31">
        <f>SUMIFS(Client_FS!$J19:$S19,Client_FS!$J$4:$S$4,L$3)/1000000</f>
        <v>0.49880827557599994</v>
      </c>
      <c r="M19" s="31">
        <f>SUMIFS(Client_FS!$J19:$S19,Client_FS!$J$4:$S$4,M$3)/1000000</f>
        <v>0.51377252384328009</v>
      </c>
      <c r="N19" s="31">
        <f>SUMIFS(Client_FS!$J19:$S19,Client_FS!$J$4:$S$4,N$3)/1000000</f>
        <v>0.52918569955857842</v>
      </c>
      <c r="O19" s="31">
        <f>SUMIFS(Client_FS!$J19:$S19,Client_FS!$J$4:$S$4,O$3)/1000000</f>
        <v>0.54506127054533571</v>
      </c>
      <c r="P19" s="31">
        <f>SUMIFS(Client_FS!$J19:$S19,Client_FS!$J$4:$S$4,P$3)/1000000</f>
        <v>0.56141310866169569</v>
      </c>
      <c r="Q19" s="31"/>
      <c r="R19" s="204"/>
      <c r="S19" s="204"/>
    </row>
    <row r="20" spans="2:19" outlineLevel="1">
      <c r="B20" t="s">
        <v>304</v>
      </c>
      <c r="G20" s="182">
        <f>+LBO!I21</f>
        <v>0</v>
      </c>
      <c r="H20" s="31">
        <f>+$G$20*0</f>
        <v>0</v>
      </c>
      <c r="I20" s="31">
        <f t="shared" ref="I20:P20" si="2">+$G$20*0</f>
        <v>0</v>
      </c>
      <c r="J20" s="31">
        <f t="shared" si="2"/>
        <v>0</v>
      </c>
      <c r="K20" s="31">
        <f t="shared" si="2"/>
        <v>0</v>
      </c>
      <c r="L20" s="31">
        <f t="shared" si="2"/>
        <v>0</v>
      </c>
      <c r="M20" s="31">
        <f t="shared" si="2"/>
        <v>0</v>
      </c>
      <c r="N20" s="31">
        <f t="shared" si="2"/>
        <v>0</v>
      </c>
      <c r="O20" s="31">
        <f t="shared" si="2"/>
        <v>0</v>
      </c>
      <c r="P20" s="31">
        <f t="shared" si="2"/>
        <v>0</v>
      </c>
      <c r="Q20" s="31"/>
      <c r="R20" s="204"/>
      <c r="S20" s="204"/>
    </row>
    <row r="21" spans="2:19" s="78" customFormat="1">
      <c r="B21" s="74" t="s">
        <v>14</v>
      </c>
      <c r="H21" s="33">
        <f>SUM(H13:H20)</f>
        <v>9.7002841999999987</v>
      </c>
      <c r="I21" s="33">
        <f t="shared" ref="I21:P21" si="3">SUM(I13:I20)</f>
        <v>10.569617467</v>
      </c>
      <c r="J21" s="33">
        <f t="shared" si="3"/>
        <v>11.478485210725372</v>
      </c>
      <c r="K21" s="33">
        <f t="shared" si="3"/>
        <v>13.521248913202985</v>
      </c>
      <c r="L21" s="33">
        <f t="shared" si="3"/>
        <v>14.22989408805994</v>
      </c>
      <c r="M21" s="33">
        <f t="shared" si="3"/>
        <v>14.838002562284771</v>
      </c>
      <c r="N21" s="33">
        <f t="shared" si="3"/>
        <v>15.532952268538763</v>
      </c>
      <c r="O21" s="33">
        <f t="shared" si="3"/>
        <v>16.232013164173388</v>
      </c>
      <c r="P21" s="33">
        <f t="shared" si="3"/>
        <v>16.936181596253466</v>
      </c>
      <c r="Q21" s="33">
        <f>Q22*Q10</f>
        <v>17.505261665966859</v>
      </c>
      <c r="R21" s="205"/>
      <c r="S21" s="205"/>
    </row>
    <row r="22" spans="2:19" s="112" customFormat="1">
      <c r="B22" s="70" t="s">
        <v>272</v>
      </c>
      <c r="H22" s="113">
        <f t="shared" ref="H22:P22" si="4">IFERROR(H21/H10,"")</f>
        <v>0.19090414101172387</v>
      </c>
      <c r="I22" s="113">
        <f t="shared" si="4"/>
        <v>0.14159661939435805</v>
      </c>
      <c r="J22" s="113">
        <f t="shared" si="4"/>
        <v>0.14710606916730665</v>
      </c>
      <c r="K22" s="113">
        <f t="shared" si="4"/>
        <v>0.16722452079927702</v>
      </c>
      <c r="L22" s="113">
        <f t="shared" si="4"/>
        <v>0.16998344866322562</v>
      </c>
      <c r="M22" s="113">
        <f t="shared" si="4"/>
        <v>0.16942108565479039</v>
      </c>
      <c r="N22" s="113">
        <f t="shared" si="4"/>
        <v>0.17146936995740683</v>
      </c>
      <c r="O22" s="113">
        <f t="shared" si="4"/>
        <v>0.1732359598145953</v>
      </c>
      <c r="P22" s="113">
        <f t="shared" si="4"/>
        <v>0.1748751326303461</v>
      </c>
      <c r="Q22" s="114">
        <f>P22</f>
        <v>0.1748751326303461</v>
      </c>
      <c r="R22" s="204"/>
      <c r="S22" s="204"/>
    </row>
    <row r="23" spans="2:19" s="112" customFormat="1">
      <c r="B23" s="70" t="s">
        <v>273</v>
      </c>
      <c r="H23" s="113" t="str">
        <f t="shared" ref="H23:Q23" si="5">IFERROR(H21/G21-1,"")</f>
        <v/>
      </c>
      <c r="I23" s="113">
        <f t="shared" si="5"/>
        <v>8.9619360533787384E-2</v>
      </c>
      <c r="J23" s="113">
        <f t="shared" si="5"/>
        <v>8.598870740242015E-2</v>
      </c>
      <c r="K23" s="113">
        <f t="shared" si="5"/>
        <v>0.17796457154197287</v>
      </c>
      <c r="L23" s="113">
        <f t="shared" si="5"/>
        <v>5.2409742576737139E-2</v>
      </c>
      <c r="M23" s="113">
        <f t="shared" si="5"/>
        <v>4.2734574864832231E-2</v>
      </c>
      <c r="N23" s="113">
        <f t="shared" si="5"/>
        <v>4.6835799046188065E-2</v>
      </c>
      <c r="O23" s="113">
        <f t="shared" si="5"/>
        <v>4.500502438615861E-2</v>
      </c>
      <c r="P23" s="113">
        <f t="shared" si="5"/>
        <v>4.3381460140402561E-2</v>
      </c>
      <c r="Q23" s="113">
        <f t="shared" si="5"/>
        <v>3.3601438817784102E-2</v>
      </c>
      <c r="R23" s="204"/>
      <c r="S23" s="204"/>
    </row>
    <row r="24" spans="2:19">
      <c r="R24" s="204"/>
      <c r="S24" s="204"/>
    </row>
    <row r="25" spans="2:19" outlineLevel="1">
      <c r="B25" t="s">
        <v>148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204"/>
      <c r="S25" s="204"/>
    </row>
    <row r="26" spans="2:19" outlineLevel="1">
      <c r="B26" t="s">
        <v>149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204"/>
      <c r="S26" s="204"/>
    </row>
    <row r="27" spans="2:19" outlineLevel="1">
      <c r="B27" t="s">
        <v>150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204"/>
      <c r="S27" s="204"/>
    </row>
    <row r="28" spans="2:19" outlineLevel="1">
      <c r="B28" s="74" t="s">
        <v>19</v>
      </c>
      <c r="H28" s="34">
        <f>SUM(H25:H27)</f>
        <v>0</v>
      </c>
      <c r="I28" s="34">
        <f t="shared" ref="I28" si="6">SUM(I25:I27)</f>
        <v>0</v>
      </c>
      <c r="J28" s="34">
        <f t="shared" ref="J28" si="7">SUM(J25:J27)</f>
        <v>0</v>
      </c>
      <c r="K28" s="34">
        <f t="shared" ref="K28" si="8">SUM(K25:K27)</f>
        <v>0</v>
      </c>
      <c r="L28" s="34">
        <f t="shared" ref="L28" si="9">SUM(L25:L27)</f>
        <v>0</v>
      </c>
      <c r="M28" s="34">
        <f t="shared" ref="M28" si="10">SUM(M25:M27)</f>
        <v>0</v>
      </c>
      <c r="N28" s="34">
        <f t="shared" ref="N28" si="11">SUM(N25:N27)</f>
        <v>0</v>
      </c>
      <c r="O28" s="34">
        <f t="shared" ref="O28" si="12">SUM(O25:O27)</f>
        <v>0</v>
      </c>
      <c r="P28" s="34">
        <f t="shared" ref="P28" si="13">SUM(P25:P27)</f>
        <v>0</v>
      </c>
      <c r="Q28" s="34">
        <f t="shared" ref="Q28" si="14">SUM(Q25:Q27)</f>
        <v>0</v>
      </c>
      <c r="R28" s="204"/>
      <c r="S28" s="204"/>
    </row>
    <row r="29" spans="2:19" outlineLevel="1">
      <c r="B29" s="70" t="s">
        <v>146</v>
      </c>
      <c r="H29" s="113">
        <f t="shared" ref="H29:Q29" si="15">IFERROR(H25/H5,"")</f>
        <v>0</v>
      </c>
      <c r="I29" s="113">
        <f t="shared" si="15"/>
        <v>0</v>
      </c>
      <c r="J29" s="113">
        <f t="shared" si="15"/>
        <v>0</v>
      </c>
      <c r="K29" s="113">
        <f t="shared" si="15"/>
        <v>0</v>
      </c>
      <c r="L29" s="113">
        <f t="shared" si="15"/>
        <v>0</v>
      </c>
      <c r="M29" s="113">
        <f t="shared" si="15"/>
        <v>0</v>
      </c>
      <c r="N29" s="113">
        <f t="shared" si="15"/>
        <v>0</v>
      </c>
      <c r="O29" s="113">
        <f t="shared" si="15"/>
        <v>0</v>
      </c>
      <c r="P29" s="113">
        <f t="shared" si="15"/>
        <v>0</v>
      </c>
      <c r="Q29" s="113" t="str">
        <f t="shared" si="15"/>
        <v/>
      </c>
      <c r="R29" s="204"/>
      <c r="S29" s="204"/>
    </row>
    <row r="30" spans="2:19" outlineLevel="1">
      <c r="B30" s="70" t="s">
        <v>151</v>
      </c>
      <c r="H30" s="113">
        <f t="shared" ref="H30:Q30" si="16">IFERROR(H28/H10,"")</f>
        <v>0</v>
      </c>
      <c r="I30" s="113">
        <f t="shared" si="16"/>
        <v>0</v>
      </c>
      <c r="J30" s="113">
        <f t="shared" si="16"/>
        <v>0</v>
      </c>
      <c r="K30" s="113">
        <f t="shared" si="16"/>
        <v>0</v>
      </c>
      <c r="L30" s="113">
        <f t="shared" si="16"/>
        <v>0</v>
      </c>
      <c r="M30" s="113">
        <f t="shared" si="16"/>
        <v>0</v>
      </c>
      <c r="N30" s="113">
        <f t="shared" si="16"/>
        <v>0</v>
      </c>
      <c r="O30" s="113">
        <f t="shared" si="16"/>
        <v>0</v>
      </c>
      <c r="P30" s="113">
        <f t="shared" si="16"/>
        <v>0</v>
      </c>
      <c r="Q30" s="113">
        <f t="shared" si="16"/>
        <v>0</v>
      </c>
      <c r="R30" s="204"/>
      <c r="S30" s="204"/>
    </row>
    <row r="31" spans="2:19" outlineLevel="1"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204"/>
      <c r="S31" s="204"/>
    </row>
    <row r="32" spans="2:19" outlineLevel="1">
      <c r="B32" t="str">
        <f>+Client_FS!E25</f>
        <v>Depreciation Core 1</v>
      </c>
      <c r="H32" s="31">
        <f>(SUMIFS(Client_FS!$J25:$S25,Client_FS!$J$4:$S$4,H$3)/1000000)</f>
        <v>-0.87535688</v>
      </c>
      <c r="I32" s="31">
        <f>(SUMIFS(Client_FS!$J25:$S25,Client_FS!$J$4:$S$4,I$3)/1000000)</f>
        <v>-0.90209568999999989</v>
      </c>
      <c r="J32" s="31">
        <f>(SUMIFS(Client_FS!$J25:$S25,Client_FS!$J$4:$S$4,J$3)/1000000)</f>
        <v>-0.83376737851460203</v>
      </c>
      <c r="K32" s="31">
        <f>(SUMIFS(Client_FS!$J25:$S25,Client_FS!$J$4:$S$4,K$3)/1000000)</f>
        <v>-0.96087986659634173</v>
      </c>
      <c r="L32" s="31">
        <f>(SUMIFS(Client_FS!$J25:$S25,Client_FS!$J$4:$S$4,L$3)/1000000)</f>
        <v>-1.0336076517802208</v>
      </c>
      <c r="M32" s="31">
        <f>(SUMIFS(Client_FS!$J25:$S25,Client_FS!$J$4:$S$4,M$3)/1000000)</f>
        <v>-1.1169494234187369</v>
      </c>
      <c r="N32" s="31">
        <f>(SUMIFS(Client_FS!$J25:$S25,Client_FS!$J$4:$S$4,N$3)/1000000)</f>
        <v>-1.1710022030104812</v>
      </c>
      <c r="O32" s="31">
        <f>(SUMIFS(Client_FS!$J25:$S25,Client_FS!$J$4:$S$4,O$3)/1000000)</f>
        <v>-1.160547555007861</v>
      </c>
      <c r="P32" s="31">
        <f>(SUMIFS(Client_FS!$J25:$S25,Client_FS!$J$4:$S$4,P$3)/1000000)</f>
        <v>-1.1603529832558956</v>
      </c>
      <c r="Q32" s="31"/>
      <c r="R32" s="204"/>
      <c r="S32" s="204"/>
    </row>
    <row r="33" spans="2:19" outlineLevel="1">
      <c r="B33" t="str">
        <f>+Client_FS!E27</f>
        <v>Depreciation Core 2</v>
      </c>
      <c r="H33" s="31">
        <f>(SUMIFS(Client_FS!$J27:$S27,Client_FS!$J$4:$S$4,H$3)/1000000)</f>
        <v>-1.67206655</v>
      </c>
      <c r="I33" s="31">
        <f>(SUMIFS(Client_FS!$J27:$S27,Client_FS!$J$4:$S$4,I$3)/1000000)</f>
        <v>-2.0597406099999991</v>
      </c>
      <c r="J33" s="31">
        <f>(SUMIFS(Client_FS!$J27:$S27,Client_FS!$J$4:$S$4,J$3)/1000000)</f>
        <v>-2.2535716100000003</v>
      </c>
      <c r="K33" s="31">
        <f>(SUMIFS(Client_FS!$J27:$S27,Client_FS!$J$4:$S$4,K$3)/1000000)</f>
        <v>-2.3127185200000007</v>
      </c>
      <c r="L33" s="31">
        <f>(SUMIFS(Client_FS!$J27:$S27,Client_FS!$J$4:$S$4,L$3)/1000000)</f>
        <v>-2.3258709999999998</v>
      </c>
      <c r="M33" s="31">
        <f>(SUMIFS(Client_FS!$J27:$S27,Client_FS!$J$4:$S$4,M$3)/1000000)</f>
        <v>-2.4154339999999999</v>
      </c>
      <c r="N33" s="31">
        <f>(SUMIFS(Client_FS!$J27:$S27,Client_FS!$J$4:$S$4,N$3)/1000000)</f>
        <v>-2.4914444000000002</v>
      </c>
      <c r="O33" s="31">
        <f>(SUMIFS(Client_FS!$J27:$S27,Client_FS!$J$4:$S$4,O$3)/1000000)</f>
        <v>-2.4914443999999998</v>
      </c>
      <c r="P33" s="31">
        <f>(SUMIFS(Client_FS!$J27:$S27,Client_FS!$J$4:$S$4,P$3)/1000000)</f>
        <v>-1.4068163999999999</v>
      </c>
      <c r="Q33" s="31"/>
      <c r="R33" s="204"/>
      <c r="S33" s="204"/>
    </row>
    <row r="34" spans="2:19" outlineLevel="1">
      <c r="B34" t="str">
        <f>+Client_FS!E26</f>
        <v>Depreciation Expansion 1</v>
      </c>
      <c r="G34" s="182">
        <f>+LBO!I17</f>
        <v>0</v>
      </c>
      <c r="H34" s="31">
        <f>(SUMIFS(Client_FS!$J26:$S26,Client_FS!$J$4:$S$4,H$3)/1000000)*$G34</f>
        <v>0</v>
      </c>
      <c r="I34" s="31">
        <f>(SUMIFS(Client_FS!$J26:$S26,Client_FS!$J$4:$S$4,I$3)/1000000)*$G34</f>
        <v>0</v>
      </c>
      <c r="J34" s="31">
        <f>(SUMIFS(Client_FS!$J26:$S26,Client_FS!$J$4:$S$4,J$3)/1000000)*$G34</f>
        <v>0</v>
      </c>
      <c r="K34" s="31">
        <f>(SUMIFS(Client_FS!$J26:$S26,Client_FS!$J$4:$S$4,K$3)/1000000)*$G34</f>
        <v>0</v>
      </c>
      <c r="L34" s="31">
        <f>(SUMIFS(Client_FS!$J26:$S26,Client_FS!$J$4:$S$4,L$3)/1000000)*$G34</f>
        <v>0</v>
      </c>
      <c r="M34" s="31">
        <f>(SUMIFS(Client_FS!$J26:$S26,Client_FS!$J$4:$S$4,M$3)/1000000)*$G34</f>
        <v>0</v>
      </c>
      <c r="N34" s="31">
        <f>(SUMIFS(Client_FS!$J26:$S26,Client_FS!$J$4:$S$4,N$3)/1000000)*$G34</f>
        <v>0</v>
      </c>
      <c r="O34" s="31">
        <f>(SUMIFS(Client_FS!$J26:$S26,Client_FS!$J$4:$S$4,O$3)/1000000)*$G34</f>
        <v>0</v>
      </c>
      <c r="P34" s="31">
        <f>(SUMIFS(Client_FS!$J26:$S26,Client_FS!$J$4:$S$4,P$3)/1000000)*$G34</f>
        <v>0</v>
      </c>
      <c r="Q34" s="31"/>
      <c r="R34" s="204"/>
      <c r="S34" s="204"/>
    </row>
    <row r="35" spans="2:19" outlineLevel="1">
      <c r="B35" t="str">
        <f>+Client_FS!E28</f>
        <v>Depreciation Expansion 2</v>
      </c>
      <c r="G35" s="182">
        <f>+LBO!I18</f>
        <v>0</v>
      </c>
      <c r="H35" s="31">
        <f>(SUMIFS(Client_FS!$J28:$S28,Client_FS!$J$4:$S$4,H$3)/1000000)*$G35</f>
        <v>0</v>
      </c>
      <c r="I35" s="31">
        <f>(SUMIFS(Client_FS!$J28:$S28,Client_FS!$J$4:$S$4,I$3)/1000000)*$G35</f>
        <v>0</v>
      </c>
      <c r="J35" s="31">
        <f>(SUMIFS(Client_FS!$J28:$S28,Client_FS!$J$4:$S$4,J$3)/1000000)*$G35</f>
        <v>0</v>
      </c>
      <c r="K35" s="31">
        <f>(SUMIFS(Client_FS!$J28:$S28,Client_FS!$J$4:$S$4,K$3)/1000000)*$G35</f>
        <v>0</v>
      </c>
      <c r="L35" s="31">
        <f>(SUMIFS(Client_FS!$J28:$S28,Client_FS!$J$4:$S$4,L$3)/1000000)*$G35</f>
        <v>0</v>
      </c>
      <c r="M35" s="31">
        <f>(SUMIFS(Client_FS!$J28:$S28,Client_FS!$J$4:$S$4,M$3)/1000000)*$G35</f>
        <v>0</v>
      </c>
      <c r="N35" s="31">
        <f>(SUMIFS(Client_FS!$J28:$S28,Client_FS!$J$4:$S$4,N$3)/1000000)*$G35</f>
        <v>0</v>
      </c>
      <c r="O35" s="31">
        <f>(SUMIFS(Client_FS!$J28:$S28,Client_FS!$J$4:$S$4,O$3)/1000000)*$G35</f>
        <v>0</v>
      </c>
      <c r="P35" s="31">
        <f>(SUMIFS(Client_FS!$J28:$S28,Client_FS!$J$4:$S$4,P$3)/1000000)*$G35</f>
        <v>0</v>
      </c>
      <c r="Q35" s="31"/>
      <c r="R35" s="204"/>
      <c r="S35" s="204"/>
    </row>
    <row r="36" spans="2:19" outlineLevel="1">
      <c r="B36" t="str">
        <f>+Client_FS!E29</f>
        <v>M&amp;A Depreciation</v>
      </c>
      <c r="G36" s="182">
        <f>+LBO!I21</f>
        <v>0</v>
      </c>
      <c r="H36" s="31">
        <f>+$G$36*0</f>
        <v>0</v>
      </c>
      <c r="I36" s="31">
        <f t="shared" ref="I36:P36" si="17">+$G$36*0</f>
        <v>0</v>
      </c>
      <c r="J36" s="31">
        <f t="shared" si="17"/>
        <v>0</v>
      </c>
      <c r="K36" s="31">
        <f t="shared" si="17"/>
        <v>0</v>
      </c>
      <c r="L36" s="31">
        <f t="shared" si="17"/>
        <v>0</v>
      </c>
      <c r="M36" s="31">
        <f t="shared" si="17"/>
        <v>0</v>
      </c>
      <c r="N36" s="31">
        <f t="shared" si="17"/>
        <v>0</v>
      </c>
      <c r="O36" s="31">
        <f t="shared" si="17"/>
        <v>0</v>
      </c>
      <c r="P36" s="31">
        <f t="shared" si="17"/>
        <v>0</v>
      </c>
      <c r="Q36" s="31"/>
      <c r="R36" s="204"/>
      <c r="S36" s="204"/>
    </row>
    <row r="37" spans="2:19" outlineLevel="1">
      <c r="B37" s="74" t="s">
        <v>153</v>
      </c>
      <c r="H37" s="34">
        <f>SUM(H32:H36)</f>
        <v>-2.5474234300000003</v>
      </c>
      <c r="I37" s="34">
        <f t="shared" ref="I37:P37" si="18">SUM(I32:I36)</f>
        <v>-2.961836299999999</v>
      </c>
      <c r="J37" s="34">
        <f t="shared" si="18"/>
        <v>-3.0873389885146025</v>
      </c>
      <c r="K37" s="34">
        <f t="shared" si="18"/>
        <v>-3.2735983865963423</v>
      </c>
      <c r="L37" s="34">
        <f t="shared" si="18"/>
        <v>-3.3594786517802206</v>
      </c>
      <c r="M37" s="34">
        <f t="shared" si="18"/>
        <v>-3.5323834234187368</v>
      </c>
      <c r="N37" s="34">
        <f t="shared" si="18"/>
        <v>-3.6624466030104816</v>
      </c>
      <c r="O37" s="34">
        <f t="shared" si="18"/>
        <v>-3.651991955007861</v>
      </c>
      <c r="P37" s="34">
        <f t="shared" si="18"/>
        <v>-2.5671693832558953</v>
      </c>
      <c r="Q37" s="34">
        <f>+Q38*Q10</f>
        <v>-3.6741861309828181</v>
      </c>
      <c r="R37" s="204"/>
      <c r="S37" s="204"/>
    </row>
    <row r="38" spans="2:19" s="112" customFormat="1" outlineLevel="1">
      <c r="B38" s="70" t="s">
        <v>147</v>
      </c>
      <c r="H38" s="113">
        <f>IFERROR((H32+H33)/H5,"")</f>
        <v>-7.9716808008982495E-2</v>
      </c>
      <c r="I38" s="113">
        <f t="shared" ref="I38:P38" si="19">IFERROR((I32+I33)/I5,"")</f>
        <v>-5.4347450668448392E-2</v>
      </c>
      <c r="J38" s="113">
        <f t="shared" si="19"/>
        <v>-5.4121254703190992E-2</v>
      </c>
      <c r="K38" s="113">
        <f t="shared" si="19"/>
        <v>-5.5453020306248935E-2</v>
      </c>
      <c r="L38" s="113">
        <f t="shared" si="19"/>
        <v>-5.50577564108716E-2</v>
      </c>
      <c r="M38" s="113">
        <f t="shared" si="19"/>
        <v>-5.5608123581505943E-2</v>
      </c>
      <c r="N38" s="113">
        <f t="shared" si="19"/>
        <v>-5.5816948699677099E-2</v>
      </c>
      <c r="O38" s="113">
        <f t="shared" si="19"/>
        <v>-5.3881739429777274E-2</v>
      </c>
      <c r="P38" s="113">
        <f t="shared" si="19"/>
        <v>-3.6704609118375628E-2</v>
      </c>
      <c r="Q38" s="114">
        <f>P38</f>
        <v>-3.6704609118375628E-2</v>
      </c>
      <c r="R38" s="204"/>
      <c r="S38" s="204"/>
    </row>
    <row r="39" spans="2:19"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204"/>
      <c r="S39" s="204"/>
    </row>
    <row r="40" spans="2:19">
      <c r="B40" t="str">
        <f>+Client_FS!E38</f>
        <v>Maintenance Capex Core 1</v>
      </c>
      <c r="H40" s="31">
        <f>(SUMIFS(Client_FS!$J38:$S38,Client_FS!$J$4:$S$4,H$3))/1000000</f>
        <v>-0.90796659000001156</v>
      </c>
      <c r="I40" s="31">
        <f>(SUMIFS(Client_FS!$J38:$S38,Client_FS!$J$4:$S$4,I$3))/1000000</f>
        <v>0.19551528000000118</v>
      </c>
      <c r="J40" s="31">
        <f>(SUMIFS(Client_FS!$J38:$S38,Client_FS!$J$4:$S$4,J$3))/1000000</f>
        <v>-1.0144999999999993</v>
      </c>
      <c r="K40" s="31">
        <f>(SUMIFS(Client_FS!$J38:$S38,Client_FS!$J$4:$S$4,K$3))/1000000</f>
        <v>-1.0000000000000007</v>
      </c>
      <c r="L40" s="31">
        <f>(SUMIFS(Client_FS!$J38:$S38,Client_FS!$J$4:$S$4,L$3))/1000000</f>
        <v>-0.99999999999999922</v>
      </c>
      <c r="M40" s="31">
        <f>(SUMIFS(Client_FS!$J38:$S38,Client_FS!$J$4:$S$4,M$3))/1000000</f>
        <v>-0.99999999999999911</v>
      </c>
      <c r="N40" s="31">
        <f>(SUMIFS(Client_FS!$J38:$S38,Client_FS!$J$4:$S$4,N$3))/1000000</f>
        <v>-1.000000000000004</v>
      </c>
      <c r="O40" s="31">
        <f>(SUMIFS(Client_FS!$J38:$S38,Client_FS!$J$4:$S$4,O$3))/1000000</f>
        <v>-1.0000000000000009</v>
      </c>
      <c r="P40" s="31">
        <f>(SUMIFS(Client_FS!$J38:$S38,Client_FS!$J$4:$S$4,P$3))/1000000</f>
        <v>-0.99999999999999512</v>
      </c>
      <c r="Q40" s="31">
        <f>Q5*Q46</f>
        <v>0</v>
      </c>
      <c r="R40" s="204"/>
      <c r="S40" s="204"/>
    </row>
    <row r="41" spans="2:19">
      <c r="B41" t="str">
        <f>+Client_FS!E40</f>
        <v>Maintenance Capex Core 2</v>
      </c>
      <c r="H41" s="31">
        <f>(SUMIFS(Client_FS!$J40:$S40,Client_FS!$J$4:$S$4,H$3))/1000000</f>
        <v>-2.0044978799999988</v>
      </c>
      <c r="I41" s="31">
        <f>(SUMIFS(Client_FS!$J40:$S40,Client_FS!$J$4:$S$4,I$3))/1000000</f>
        <v>-3.4097529099999946</v>
      </c>
      <c r="J41" s="31">
        <f>(SUMIFS(Client_FS!$J40:$S40,Client_FS!$J$4:$S$4,J$3))/1000000</f>
        <v>-0.45000000000001489</v>
      </c>
      <c r="K41" s="31">
        <f>(SUMIFS(Client_FS!$J40:$S40,Client_FS!$J$4:$S$4,K$3))/1000000</f>
        <v>-1.0000000000000446</v>
      </c>
      <c r="L41" s="31">
        <f>(SUMIFS(Client_FS!$J40:$S40,Client_FS!$J$4:$S$4,L$3))/1000000</f>
        <v>-1.0000000000000446</v>
      </c>
      <c r="M41" s="31">
        <f>(SUMIFS(Client_FS!$J40:$S40,Client_FS!$J$4:$S$4,M$3))/1000000</f>
        <v>-1.0000000000000446</v>
      </c>
      <c r="N41" s="31">
        <f>(SUMIFS(Client_FS!$J40:$S40,Client_FS!$J$4:$S$4,N$3))/1000000</f>
        <v>-1.0000000000000446</v>
      </c>
      <c r="O41" s="31">
        <f>(SUMIFS(Client_FS!$J40:$S40,Client_FS!$J$4:$S$4,O$3))/1000000</f>
        <v>-1.0000000000000446</v>
      </c>
      <c r="P41" s="31">
        <f>(SUMIFS(Client_FS!$J40:$S40,Client_FS!$J$4:$S$4,P$3))/1000000</f>
        <v>-1.0000000000000446</v>
      </c>
      <c r="Q41" s="31">
        <f>(SUMIFS(Client_FS!$J40:$S40,Client_FS!$J$4:$S$4,Q$3)+SUMIFS(Client_FS!$J41:$S41,Client_FS!$J$4:$S$4,Q$3))/1000000</f>
        <v>0</v>
      </c>
      <c r="R41" s="204"/>
      <c r="S41" s="204"/>
    </row>
    <row r="42" spans="2:19">
      <c r="B42" t="str">
        <f>+Client_FS!E39</f>
        <v>Growth Capex Expansion 1</v>
      </c>
      <c r="G42" s="182">
        <f>+LBO!I17</f>
        <v>0</v>
      </c>
      <c r="H42" s="31">
        <f>(SUMIFS(Client_FS!$J39:$S39,Client_FS!$J$4:$S$4,H$3)/1000000)*$G42</f>
        <v>0</v>
      </c>
      <c r="I42" s="31">
        <f>(SUMIFS(Client_FS!$J39:$S39,Client_FS!$J$4:$S$4,I$3)/1000000)*$G42</f>
        <v>0</v>
      </c>
      <c r="J42" s="31">
        <f>(SUMIFS(Client_FS!$J39:$S39,Client_FS!$J$4:$S$4,J$3)/1000000)*$G42</f>
        <v>0</v>
      </c>
      <c r="K42" s="31">
        <f>(SUMIFS(Client_FS!$J39:$S39,Client_FS!$J$4:$S$4,K$3)/1000000)*$G42</f>
        <v>0</v>
      </c>
      <c r="L42" s="31">
        <f>(SUMIFS(Client_FS!$J39:$S39,Client_FS!$J$4:$S$4,L$3)/1000000)*$G42</f>
        <v>0</v>
      </c>
      <c r="M42" s="31">
        <f>(SUMIFS(Client_FS!$J39:$S39,Client_FS!$J$4:$S$4,M$3)/1000000)*$G42</f>
        <v>0</v>
      </c>
      <c r="N42" s="31">
        <f>(SUMIFS(Client_FS!$J39:$S39,Client_FS!$J$4:$S$4,N$3)/1000000)*$G42</f>
        <v>0</v>
      </c>
      <c r="O42" s="31">
        <f>(SUMIFS(Client_FS!$J39:$S39,Client_FS!$J$4:$S$4,O$3)/1000000)*$G42</f>
        <v>0</v>
      </c>
      <c r="P42" s="31">
        <f>(SUMIFS(Client_FS!$J39:$S39,Client_FS!$J$4:$S$4,P$3)/1000000)*$G42</f>
        <v>0</v>
      </c>
      <c r="Q42" s="31"/>
      <c r="R42" s="204"/>
      <c r="S42" s="204"/>
    </row>
    <row r="43" spans="2:19">
      <c r="B43" t="str">
        <f>+Client_FS!E41</f>
        <v>Growth Capex Expansion 2</v>
      </c>
      <c r="G43" s="182">
        <f>+LBO!I18</f>
        <v>0</v>
      </c>
      <c r="H43" s="31">
        <f>(SUMIFS(Client_FS!$J41:$S41,Client_FS!$J$4:$S$4,H$3)/1000000)*$G43</f>
        <v>0</v>
      </c>
      <c r="I43" s="31">
        <f>(SUMIFS(Client_FS!$J41:$S41,Client_FS!$J$4:$S$4,I$3)/1000000)*$G43</f>
        <v>0</v>
      </c>
      <c r="J43" s="31">
        <f>(SUMIFS(Client_FS!$J41:$S41,Client_FS!$J$4:$S$4,J$3)/1000000)*$G43</f>
        <v>0</v>
      </c>
      <c r="K43" s="31">
        <f>(SUMIFS(Client_FS!$J41:$S41,Client_FS!$J$4:$S$4,K$3)/1000000)*$G43</f>
        <v>0</v>
      </c>
      <c r="L43" s="31">
        <f>(SUMIFS(Client_FS!$J41:$S41,Client_FS!$J$4:$S$4,L$3)/1000000)*$G43</f>
        <v>0</v>
      </c>
      <c r="M43" s="31">
        <f>(SUMIFS(Client_FS!$J41:$S41,Client_FS!$J$4:$S$4,M$3)/1000000)*$G43</f>
        <v>0</v>
      </c>
      <c r="N43" s="31">
        <f>(SUMIFS(Client_FS!$J41:$S41,Client_FS!$J$4:$S$4,N$3)/1000000)*$G43</f>
        <v>0</v>
      </c>
      <c r="O43" s="31">
        <f>(SUMIFS(Client_FS!$J41:$S41,Client_FS!$J$4:$S$4,O$3)/1000000)*$G43</f>
        <v>0</v>
      </c>
      <c r="P43" s="31">
        <f>(SUMIFS(Client_FS!$J41:$S41,Client_FS!$J$4:$S$4,P$3)/1000000)*$G43</f>
        <v>0</v>
      </c>
      <c r="Q43" s="31"/>
      <c r="R43" s="204"/>
      <c r="S43" s="204"/>
    </row>
    <row r="44" spans="2:19">
      <c r="B44" t="str">
        <f>+Client_FS!E42</f>
        <v>M&amp;A Capex</v>
      </c>
      <c r="G44" s="182">
        <f>+LBO!I21</f>
        <v>0</v>
      </c>
      <c r="H44" s="31">
        <f>(SUMIFS(Client_FS!$J42:$S42,Client_FS!$J$4:$S$4,H$3)/1000000)*$G44</f>
        <v>0</v>
      </c>
      <c r="I44" s="31">
        <f>(SUMIFS(Client_FS!$J42:$S42,Client_FS!$J$4:$S$4,I$3)/1000000)*$G44</f>
        <v>0</v>
      </c>
      <c r="J44" s="31">
        <f>(SUMIFS(Client_FS!$J42:$S42,Client_FS!$J$4:$S$4,J$3)/1000000)*$G44</f>
        <v>0</v>
      </c>
      <c r="K44" s="31">
        <f>(SUMIFS(Client_FS!$J42:$S42,Client_FS!$J$4:$S$4,K$3)/1000000)*$G44</f>
        <v>0</v>
      </c>
      <c r="L44" s="31">
        <f>(SUMIFS(Client_FS!$J42:$S42,Client_FS!$J$4:$S$4,L$3)/1000000)*$G44</f>
        <v>0</v>
      </c>
      <c r="M44" s="31">
        <f>(SUMIFS(Client_FS!$J42:$S42,Client_FS!$J$4:$S$4,M$3)/1000000)*$G44</f>
        <v>0</v>
      </c>
      <c r="N44" s="31">
        <f>(SUMIFS(Client_FS!$J42:$S42,Client_FS!$J$4:$S$4,N$3)/1000000)*$G44</f>
        <v>0</v>
      </c>
      <c r="O44" s="31">
        <f>(SUMIFS(Client_FS!$J42:$S42,Client_FS!$J$4:$S$4,O$3)/1000000)*$G44</f>
        <v>0</v>
      </c>
      <c r="P44" s="31">
        <f>(SUMIFS(Client_FS!$J42:$S42,Client_FS!$J$4:$S$4,P$3)/1000000)*$G44</f>
        <v>0</v>
      </c>
      <c r="Q44" s="31"/>
      <c r="R44" s="204"/>
      <c r="S44" s="204"/>
    </row>
    <row r="45" spans="2:19" s="78" customFormat="1">
      <c r="B45" s="74" t="s">
        <v>152</v>
      </c>
      <c r="H45" s="33">
        <f t="shared" ref="H45:P45" si="20">SUM(H40:H44)</f>
        <v>-2.9124644700000104</v>
      </c>
      <c r="I45" s="33">
        <f t="shared" si="20"/>
        <v>-3.2142376299999933</v>
      </c>
      <c r="J45" s="33">
        <f t="shared" si="20"/>
        <v>-1.4645000000000141</v>
      </c>
      <c r="K45" s="33">
        <f t="shared" si="20"/>
        <v>-2.0000000000000453</v>
      </c>
      <c r="L45" s="33">
        <f t="shared" si="20"/>
        <v>-2.000000000000044</v>
      </c>
      <c r="M45" s="33">
        <f t="shared" si="20"/>
        <v>-2.0000000000000435</v>
      </c>
      <c r="N45" s="33">
        <f t="shared" si="20"/>
        <v>-2.0000000000000488</v>
      </c>
      <c r="O45" s="33">
        <f t="shared" si="20"/>
        <v>-2.0000000000000453</v>
      </c>
      <c r="P45" s="33">
        <f t="shared" si="20"/>
        <v>-2.00000000000004</v>
      </c>
      <c r="Q45" s="33">
        <f>SUM(Q40:Q43)</f>
        <v>0</v>
      </c>
      <c r="R45" s="205"/>
      <c r="S45" s="205"/>
    </row>
    <row r="46" spans="2:19" s="112" customFormat="1">
      <c r="B46" s="70" t="s">
        <v>147</v>
      </c>
      <c r="H46" s="113">
        <f t="shared" ref="H46:P46" si="21">IFERROR(H40/H5,"")</f>
        <v>-2.8413100657396967E-2</v>
      </c>
      <c r="I46" s="113">
        <f t="shared" si="21"/>
        <v>3.5875571633475966E-3</v>
      </c>
      <c r="J46" s="113">
        <f t="shared" si="21"/>
        <v>-1.7784251454293298E-2</v>
      </c>
      <c r="K46" s="113">
        <f t="shared" si="21"/>
        <v>-1.6939469585914944E-2</v>
      </c>
      <c r="L46" s="113">
        <f t="shared" si="21"/>
        <v>-1.6388779961943177E-2</v>
      </c>
      <c r="M46" s="113">
        <f t="shared" si="21"/>
        <v>-1.5742380403225547E-2</v>
      </c>
      <c r="N46" s="113">
        <f t="shared" si="21"/>
        <v>-1.5240344706676828E-2</v>
      </c>
      <c r="O46" s="113">
        <f t="shared" si="21"/>
        <v>-1.4754068490181365E-2</v>
      </c>
      <c r="P46" s="113">
        <f t="shared" si="21"/>
        <v>-1.4297696660679106E-2</v>
      </c>
      <c r="Q46" s="114">
        <f>P46</f>
        <v>-1.4297696660679106E-2</v>
      </c>
      <c r="R46" s="204"/>
      <c r="S46" s="204"/>
    </row>
    <row r="47" spans="2:19" s="112" customFormat="1">
      <c r="B47" s="70" t="s">
        <v>257</v>
      </c>
      <c r="H47" s="113">
        <f t="shared" ref="H47:P47" si="22">IFERROR(H45/H10,"")</f>
        <v>-5.7318065781260072E-2</v>
      </c>
      <c r="I47" s="113">
        <f t="shared" si="22"/>
        <v>-4.3059759140678888E-2</v>
      </c>
      <c r="J47" s="113">
        <f t="shared" si="22"/>
        <v>-1.8768751654984997E-2</v>
      </c>
      <c r="K47" s="113">
        <f t="shared" si="22"/>
        <v>-2.4735070239849281E-2</v>
      </c>
      <c r="L47" s="113">
        <f t="shared" si="22"/>
        <v>-2.3891034973459086E-2</v>
      </c>
      <c r="M47" s="113">
        <f t="shared" si="22"/>
        <v>-2.2836104110863075E-2</v>
      </c>
      <c r="N47" s="113">
        <f t="shared" si="22"/>
        <v>-2.2078142904580201E-2</v>
      </c>
      <c r="O47" s="113">
        <f t="shared" si="22"/>
        <v>-2.1344975273548731E-2</v>
      </c>
      <c r="P47" s="113">
        <f t="shared" si="22"/>
        <v>-2.0651069621151742E-2</v>
      </c>
      <c r="Q47" s="114">
        <f>P47</f>
        <v>-2.0651069621151742E-2</v>
      </c>
      <c r="R47" s="204"/>
      <c r="S47" s="204"/>
    </row>
    <row r="48" spans="2:19"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204"/>
      <c r="S48" s="204"/>
    </row>
    <row r="49" spans="2:19" outlineLevel="1">
      <c r="B49" t="s">
        <v>155</v>
      </c>
      <c r="H49" s="31">
        <f>(SUMIFS(Client_FS!$J32:$S32,Client_FS!$J$4:$S$4,H$3)+SUMIFS(Client_FS!$J33:$S33,Client_FS!$J$4:$S$4,H$3))/1000000</f>
        <v>-0.77889552999999745</v>
      </c>
      <c r="I49" s="31">
        <f>(SUMIFS(Client_FS!$J32:$S32,Client_FS!$J$4:$S$4,I$3)+SUMIFS(Client_FS!$J33:$S33,Client_FS!$J$4:$S$4,I$3))/1000000</f>
        <v>-1.8534986999998921</v>
      </c>
      <c r="J49" s="31">
        <f>(SUMIFS(Client_FS!$J32:$S32,Client_FS!$J$4:$S$4,J$3)+SUMIFS(Client_FS!$J33:$S33,Client_FS!$J$4:$S$4,J$3))/1000000</f>
        <v>3.0943157712350469</v>
      </c>
      <c r="K49" s="31">
        <f>(SUMIFS(Client_FS!$J32:$S32,Client_FS!$J$4:$S$4,K$3)+SUMIFS(Client_FS!$J33:$S33,Client_FS!$J$4:$S$4,K$3))/1000000</f>
        <v>1.2418090701127416</v>
      </c>
      <c r="L49" s="31">
        <f>(SUMIFS(Client_FS!$J32:$S32,Client_FS!$J$4:$S$4,L$3)+SUMIFS(Client_FS!$J33:$S33,Client_FS!$J$4:$S$4,L$3))/1000000</f>
        <v>-0.25660217608953362</v>
      </c>
      <c r="M49" s="31">
        <f>(SUMIFS(Client_FS!$J32:$S32,Client_FS!$J$4:$S$4,M$3)+SUMIFS(Client_FS!$J33:$S33,Client_FS!$J$4:$S$4,M$3))/1000000</f>
        <v>-1.5054022673425218</v>
      </c>
      <c r="N49" s="31">
        <f>(SUMIFS(Client_FS!$J32:$S32,Client_FS!$J$4:$S$4,N$3)+SUMIFS(Client_FS!$J33:$S33,Client_FS!$J$4:$S$4,N$3))/1000000</f>
        <v>-2.647889817944753</v>
      </c>
      <c r="O49" s="31">
        <f>(SUMIFS(Client_FS!$J32:$S32,Client_FS!$J$4:$S$4,O$3)+SUMIFS(Client_FS!$J33:$S33,Client_FS!$J$4:$S$4,O$3))/1000000</f>
        <v>-2.8523797788929679</v>
      </c>
      <c r="P49" s="31">
        <f>(SUMIFS(Client_FS!$J32:$S32,Client_FS!$J$4:$S$4,P$3)+SUMIFS(Client_FS!$J33:$S33,Client_FS!$J$4:$S$4,P$3))/1000000</f>
        <v>-3.0421368315915216</v>
      </c>
      <c r="Q49" s="31">
        <f ca="1">+Q53*Q5</f>
        <v>0</v>
      </c>
      <c r="R49" s="204"/>
      <c r="S49" s="204"/>
    </row>
    <row r="50" spans="2:19" outlineLevel="1">
      <c r="B50" t="s">
        <v>256</v>
      </c>
      <c r="H50" s="31"/>
      <c r="I50" s="31"/>
      <c r="J50" s="31"/>
      <c r="K50" s="31">
        <f ca="1">+K54*(K8*$G8+K6*$G6)</f>
        <v>0</v>
      </c>
      <c r="L50" s="31">
        <f t="shared" ref="L50:P50" ca="1" si="23">+L54*(L8*$G8+L6*$G6)</f>
        <v>0</v>
      </c>
      <c r="M50" s="31">
        <f t="shared" ca="1" si="23"/>
        <v>0</v>
      </c>
      <c r="N50" s="31">
        <f t="shared" ca="1" si="23"/>
        <v>0</v>
      </c>
      <c r="O50" s="31">
        <f t="shared" ca="1" si="23"/>
        <v>0</v>
      </c>
      <c r="P50" s="31">
        <f t="shared" ca="1" si="23"/>
        <v>0</v>
      </c>
      <c r="Q50" s="31">
        <f ca="1">+Q54*Q8</f>
        <v>0</v>
      </c>
      <c r="R50" s="204"/>
      <c r="S50" s="204"/>
    </row>
    <row r="51" spans="2:19" outlineLevel="1">
      <c r="B51" t="s">
        <v>156</v>
      </c>
      <c r="H51" s="31"/>
      <c r="I51" s="31"/>
      <c r="J51" s="31"/>
      <c r="K51" s="31">
        <f ca="1">+K55*(K9*$G9)</f>
        <v>0</v>
      </c>
      <c r="L51" s="31">
        <f t="shared" ref="L51:P51" ca="1" si="24">+L55*(L9*$G9)</f>
        <v>0</v>
      </c>
      <c r="M51" s="31">
        <f t="shared" ca="1" si="24"/>
        <v>0</v>
      </c>
      <c r="N51" s="31">
        <f t="shared" ca="1" si="24"/>
        <v>0</v>
      </c>
      <c r="O51" s="31">
        <f t="shared" ca="1" si="24"/>
        <v>0</v>
      </c>
      <c r="P51" s="31">
        <f t="shared" ca="1" si="24"/>
        <v>0</v>
      </c>
      <c r="Q51" s="31">
        <f ca="1">+Q55*Q9</f>
        <v>0</v>
      </c>
      <c r="R51" s="204"/>
      <c r="S51" s="204"/>
    </row>
    <row r="52" spans="2:19" s="78" customFormat="1">
      <c r="B52" s="74" t="s">
        <v>229</v>
      </c>
      <c r="H52" s="33">
        <f>SUM(H49:H51)</f>
        <v>-0.77889552999999745</v>
      </c>
      <c r="I52" s="33">
        <f t="shared" ref="I52:P52" si="25">SUM(I49:I51)</f>
        <v>-1.8534986999998921</v>
      </c>
      <c r="J52" s="33">
        <f t="shared" si="25"/>
        <v>3.0943157712350469</v>
      </c>
      <c r="K52" s="33">
        <f t="shared" ca="1" si="25"/>
        <v>1.2418090701127416</v>
      </c>
      <c r="L52" s="33">
        <f t="shared" ca="1" si="25"/>
        <v>-0.25660217608953362</v>
      </c>
      <c r="M52" s="33">
        <f t="shared" ca="1" si="25"/>
        <v>-1.5054022673425218</v>
      </c>
      <c r="N52" s="33">
        <f t="shared" ca="1" si="25"/>
        <v>-2.647889817944753</v>
      </c>
      <c r="O52" s="33">
        <f t="shared" ca="1" si="25"/>
        <v>-2.8523797788929679</v>
      </c>
      <c r="P52" s="33">
        <f t="shared" ca="1" si="25"/>
        <v>-3.0421368315915216</v>
      </c>
      <c r="Q52" s="33">
        <f ca="1">SUM(Q49:Q51)</f>
        <v>0</v>
      </c>
      <c r="R52" s="205"/>
      <c r="S52" s="205"/>
    </row>
    <row r="53" spans="2:19" s="112" customFormat="1">
      <c r="B53" s="70" t="s">
        <v>147</v>
      </c>
      <c r="H53" s="113">
        <f t="shared" ref="H53:P53" si="26">IFERROR(H52/H5,"")</f>
        <v>-2.4374065454860188E-2</v>
      </c>
      <c r="I53" s="113">
        <f t="shared" si="26"/>
        <v>-3.4010295964796364E-2</v>
      </c>
      <c r="J53" s="113">
        <f t="shared" si="26"/>
        <v>5.4243558161290895E-2</v>
      </c>
      <c r="K53" s="113">
        <f t="shared" ca="1" si="26"/>
        <v>2.1035586974688089E-2</v>
      </c>
      <c r="L53" s="113">
        <f t="shared" ca="1" si="26"/>
        <v>-4.2053966016871664E-3</v>
      </c>
      <c r="M53" s="113">
        <f t="shared" ca="1" si="26"/>
        <v>-2.3698615152384243E-2</v>
      </c>
      <c r="N53" s="113">
        <f t="shared" ca="1" si="26"/>
        <v>-4.0354753570777627E-2</v>
      </c>
      <c r="O53" s="113">
        <f t="shared" ca="1" si="26"/>
        <v>-4.2084206617795189E-2</v>
      </c>
      <c r="P53" s="113">
        <f t="shared" ca="1" si="26"/>
        <v>-4.349554961837522E-2</v>
      </c>
      <c r="Q53" s="114">
        <f ca="1">P53</f>
        <v>-4.349554961837522E-2</v>
      </c>
      <c r="R53" s="204"/>
      <c r="S53" s="204"/>
    </row>
    <row r="54" spans="2:19" s="112" customFormat="1">
      <c r="B54" s="70" t="s">
        <v>284</v>
      </c>
      <c r="H54" s="95"/>
      <c r="I54" s="95"/>
      <c r="J54" s="95"/>
      <c r="K54" s="114">
        <f t="shared" ref="K54:Q54" ca="1" si="27">+K53</f>
        <v>2.1035586974688089E-2</v>
      </c>
      <c r="L54" s="114">
        <f t="shared" ca="1" si="27"/>
        <v>-4.2053966016871664E-3</v>
      </c>
      <c r="M54" s="114">
        <f t="shared" ca="1" si="27"/>
        <v>-2.3698615152384243E-2</v>
      </c>
      <c r="N54" s="114">
        <f t="shared" ca="1" si="27"/>
        <v>-4.0354753570777627E-2</v>
      </c>
      <c r="O54" s="114">
        <f t="shared" ca="1" si="27"/>
        <v>-4.2084206617795189E-2</v>
      </c>
      <c r="P54" s="114">
        <f t="shared" ca="1" si="27"/>
        <v>-4.349554961837522E-2</v>
      </c>
      <c r="Q54" s="114">
        <f t="shared" ca="1" si="27"/>
        <v>-4.349554961837522E-2</v>
      </c>
      <c r="R54" s="204"/>
      <c r="S54" s="204"/>
    </row>
    <row r="55" spans="2:19" s="112" customFormat="1">
      <c r="B55" s="70" t="s">
        <v>285</v>
      </c>
      <c r="H55" s="95"/>
      <c r="I55" s="95"/>
      <c r="J55" s="95"/>
      <c r="K55" s="114">
        <f t="shared" ref="K55:Q55" ca="1" si="28">+K53</f>
        <v>2.1035586974688089E-2</v>
      </c>
      <c r="L55" s="114">
        <f t="shared" ca="1" si="28"/>
        <v>-4.2053966016871664E-3</v>
      </c>
      <c r="M55" s="114">
        <f t="shared" ca="1" si="28"/>
        <v>-2.3698615152384243E-2</v>
      </c>
      <c r="N55" s="114">
        <f t="shared" ca="1" si="28"/>
        <v>-4.0354753570777627E-2</v>
      </c>
      <c r="O55" s="114">
        <f t="shared" ca="1" si="28"/>
        <v>-4.2084206617795189E-2</v>
      </c>
      <c r="P55" s="114">
        <f t="shared" ca="1" si="28"/>
        <v>-4.349554961837522E-2</v>
      </c>
      <c r="Q55" s="114">
        <f t="shared" ca="1" si="28"/>
        <v>-4.349554961837522E-2</v>
      </c>
      <c r="R55" s="204"/>
      <c r="S55" s="204"/>
    </row>
    <row r="56" spans="2:19">
      <c r="B56" s="70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204"/>
      <c r="S56" s="204"/>
    </row>
    <row r="57" spans="2:19" outlineLevel="1">
      <c r="B57" t="s">
        <v>157</v>
      </c>
      <c r="H57" s="105"/>
      <c r="I57" s="31"/>
      <c r="J57" s="31"/>
      <c r="K57" s="31"/>
      <c r="L57" s="31"/>
      <c r="M57" s="31"/>
      <c r="N57" s="31"/>
      <c r="O57" s="31"/>
      <c r="P57" s="31"/>
      <c r="Q57" s="31"/>
      <c r="R57" s="204"/>
      <c r="S57" s="204"/>
    </row>
    <row r="58" spans="2:19" outlineLevel="1">
      <c r="B58" t="s">
        <v>158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204"/>
      <c r="S58" s="204"/>
    </row>
    <row r="59" spans="2:19" outlineLevel="1">
      <c r="B59" s="74" t="s">
        <v>228</v>
      </c>
      <c r="H59" s="34">
        <f t="shared" ref="H59:Q59" si="29">SUM(H57:H58)</f>
        <v>0</v>
      </c>
      <c r="I59" s="34">
        <f t="shared" si="29"/>
        <v>0</v>
      </c>
      <c r="J59" s="34">
        <f t="shared" si="29"/>
        <v>0</v>
      </c>
      <c r="K59" s="34">
        <f t="shared" si="29"/>
        <v>0</v>
      </c>
      <c r="L59" s="34">
        <f t="shared" si="29"/>
        <v>0</v>
      </c>
      <c r="M59" s="34">
        <f t="shared" si="29"/>
        <v>0</v>
      </c>
      <c r="N59" s="34">
        <f t="shared" si="29"/>
        <v>0</v>
      </c>
      <c r="O59" s="34">
        <f t="shared" si="29"/>
        <v>0</v>
      </c>
      <c r="P59" s="34">
        <f t="shared" si="29"/>
        <v>0</v>
      </c>
      <c r="Q59" s="34">
        <f t="shared" si="29"/>
        <v>0</v>
      </c>
      <c r="R59" s="204"/>
      <c r="S59" s="204"/>
    </row>
    <row r="60" spans="2:19" s="112" customFormat="1" outlineLevel="1">
      <c r="B60" s="70" t="s">
        <v>147</v>
      </c>
      <c r="H60" s="113">
        <f t="shared" ref="H60:O60" si="30">IFERROR(H59/H10,"")</f>
        <v>0</v>
      </c>
      <c r="I60" s="113">
        <f t="shared" si="30"/>
        <v>0</v>
      </c>
      <c r="J60" s="113">
        <f t="shared" si="30"/>
        <v>0</v>
      </c>
      <c r="K60" s="113">
        <f t="shared" si="30"/>
        <v>0</v>
      </c>
      <c r="L60" s="113">
        <f t="shared" si="30"/>
        <v>0</v>
      </c>
      <c r="M60" s="113">
        <f t="shared" si="30"/>
        <v>0</v>
      </c>
      <c r="N60" s="113">
        <f t="shared" si="30"/>
        <v>0</v>
      </c>
      <c r="O60" s="113">
        <f t="shared" si="30"/>
        <v>0</v>
      </c>
      <c r="P60" s="114">
        <f>O60</f>
        <v>0</v>
      </c>
      <c r="Q60" s="114">
        <f>P60</f>
        <v>0</v>
      </c>
      <c r="R60" s="204"/>
      <c r="S60" s="204"/>
    </row>
    <row r="61" spans="2:19" outlineLevel="1"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204"/>
      <c r="S61" s="204"/>
    </row>
    <row r="62" spans="2:19" outlineLevel="1">
      <c r="B62" t="s">
        <v>159</v>
      </c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204"/>
      <c r="S62" s="204"/>
    </row>
    <row r="63" spans="2:19"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204"/>
      <c r="S63" s="204"/>
    </row>
    <row r="64" spans="2:19"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</row>
    <row r="65" spans="8:19" hidden="1"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spans="8:19" hidden="1"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</row>
    <row r="67" spans="8:19" hidden="1"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 spans="8:19" hidden="1"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</row>
    <row r="69" spans="8:19" hidden="1"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spans="8:19" hidden="1"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</row>
    <row r="71" spans="8:19" hidden="1"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spans="8:19" hidden="1"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3" spans="8:19" hidden="1"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</row>
    <row r="74" spans="8:19" hidden="1"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</row>
    <row r="75" spans="8:19" hidden="1"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</row>
    <row r="76" spans="8:19" hidden="1"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</row>
    <row r="77" spans="8:19" hidden="1"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</row>
    <row r="78" spans="8:19" hidden="1"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</row>
    <row r="79" spans="8:19" hidden="1"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</row>
    <row r="80" spans="8:19" hidden="1"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</row>
    <row r="81" spans="8:19" hidden="1"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</row>
    <row r="82" spans="8:19" hidden="1"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</row>
    <row r="83" spans="8:19" hidden="1"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</row>
    <row r="84" spans="8:19" hidden="1"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</row>
    <row r="85" spans="8:19" hidden="1"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</row>
    <row r="86" spans="8:19" hidden="1"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</row>
    <row r="87" spans="8:19" hidden="1"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</row>
    <row r="88" spans="8:19" hidden="1"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</row>
    <row r="89" spans="8:19" hidden="1"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</row>
    <row r="90" spans="8:19" hidden="1"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</row>
    <row r="91" spans="8:19" hidden="1"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</row>
    <row r="92" spans="8:19" hidden="1"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</row>
    <row r="93" spans="8:19" hidden="1"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</row>
    <row r="94" spans="8:19" hidden="1"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</row>
    <row r="95" spans="8:19" hidden="1"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</row>
    <row r="96" spans="8:19" hidden="1"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</row>
    <row r="97" spans="8:19" hidden="1"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</row>
    <row r="98" spans="8:19" hidden="1"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</row>
    <row r="99" spans="8:19" hidden="1"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</row>
    <row r="100" spans="8:19" hidden="1"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</row>
    <row r="101" spans="8:19" hidden="1"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</row>
    <row r="102" spans="8:19" hidden="1"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</row>
    <row r="103" spans="8:19" hidden="1"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</row>
    <row r="104" spans="8:19" hidden="1"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</row>
    <row r="105" spans="8:19" hidden="1"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</row>
    <row r="106" spans="8:19" hidden="1"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</row>
    <row r="107" spans="8:19" hidden="1"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</row>
    <row r="108" spans="8:19" hidden="1"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</row>
    <row r="109" spans="8:19" hidden="1"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</row>
    <row r="110" spans="8:19" hidden="1"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</row>
    <row r="111" spans="8:19" hidden="1"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</row>
    <row r="112" spans="8:19" hidden="1"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</row>
    <row r="113" spans="8:19" hidden="1"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</row>
    <row r="114" spans="8:19" hidden="1"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</row>
    <row r="115" spans="8:19" hidden="1"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</row>
    <row r="116" spans="8:19" hidden="1"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</row>
    <row r="117" spans="8:19" hidden="1"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</row>
    <row r="118" spans="8:19" hidden="1"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</row>
    <row r="119" spans="8:19" hidden="1"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</row>
    <row r="120" spans="8:19" hidden="1"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</row>
    <row r="121" spans="8:19" hidden="1"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</row>
    <row r="122" spans="8:19" hidden="1"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</row>
    <row r="123" spans="8:19" hidden="1"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</row>
    <row r="124" spans="8:19" hidden="1"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</row>
    <row r="125" spans="8:19" hidden="1"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</row>
    <row r="126" spans="8:19" hidden="1"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</row>
    <row r="127" spans="8:19" hidden="1"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</row>
    <row r="128" spans="8:19" hidden="1"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</row>
    <row r="129" spans="8:19" hidden="1"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</row>
    <row r="130" spans="8:19" hidden="1"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</row>
    <row r="131" spans="8:19" hidden="1"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</row>
    <row r="132" spans="8:19" hidden="1"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</row>
    <row r="133" spans="8:19" hidden="1"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</row>
    <row r="134" spans="8:19" hidden="1"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</row>
    <row r="135" spans="8:19" hidden="1"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</row>
    <row r="136" spans="8:19" hidden="1"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</row>
    <row r="137" spans="8:19" hidden="1"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</row>
    <row r="138" spans="8:19" hidden="1"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</row>
    <row r="139" spans="8:19" hidden="1"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</row>
    <row r="140" spans="8:19" hidden="1"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</row>
    <row r="141" spans="8:19" hidden="1"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</row>
    <row r="142" spans="8:19" hidden="1"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</row>
    <row r="143" spans="8:19" hidden="1"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</row>
    <row r="144" spans="8:19" hidden="1"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</row>
    <row r="145" spans="8:19" hidden="1"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</row>
    <row r="146" spans="8:19" hidden="1"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</row>
    <row r="147" spans="8:19" hidden="1"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</row>
    <row r="148" spans="8:19" hidden="1"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</row>
    <row r="149" spans="8:19" hidden="1"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</row>
    <row r="150" spans="8:19" hidden="1"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</row>
    <row r="151" spans="8:19" hidden="1"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</row>
    <row r="152" spans="8:19" hidden="1"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</row>
    <row r="153" spans="8:19" hidden="1"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</row>
    <row r="154" spans="8:19" hidden="1"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</row>
    <row r="155" spans="8:19" hidden="1"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</row>
    <row r="156" spans="8:19" hidden="1"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</row>
    <row r="157" spans="8:19" hidden="1"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</row>
    <row r="158" spans="8:19" hidden="1"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</row>
    <row r="159" spans="8:19" hidden="1"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</row>
    <row r="160" spans="8:19" hidden="1"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</row>
    <row r="161" spans="8:19" hidden="1"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</row>
    <row r="162" spans="8:19" hidden="1"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</row>
    <row r="163" spans="8:19" hidden="1"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</row>
    <row r="164" spans="8:19" hidden="1"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</row>
    <row r="165" spans="8:19" hidden="1"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</row>
    <row r="166" spans="8:19" hidden="1"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</row>
    <row r="167" spans="8:19" hidden="1"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</row>
    <row r="168" spans="8:19" hidden="1"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</row>
    <row r="169" spans="8:19" hidden="1"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</row>
    <row r="170" spans="8:19" hidden="1"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</row>
    <row r="171" spans="8:19" hidden="1"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</row>
    <row r="172" spans="8:19" hidden="1"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</row>
    <row r="173" spans="8:19" hidden="1"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</row>
    <row r="174" spans="8:19" hidden="1"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</row>
    <row r="175" spans="8:19" hidden="1"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</row>
    <row r="176" spans="8:19" hidden="1"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</row>
    <row r="177" spans="8:19" hidden="1"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</row>
    <row r="178" spans="8:19" hidden="1"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</row>
    <row r="179" spans="8:19" hidden="1"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</row>
    <row r="180" spans="8:19" hidden="1"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</row>
    <row r="181" spans="8:19" hidden="1"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</row>
    <row r="182" spans="8:19" hidden="1"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</row>
    <row r="183" spans="8:19" hidden="1"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</row>
    <row r="184" spans="8:19" hidden="1"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</row>
    <row r="185" spans="8:19" hidden="1"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</row>
    <row r="186" spans="8:19" hidden="1"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</row>
    <row r="187" spans="8:19" hidden="1"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</row>
    <row r="188" spans="8:19" hidden="1"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</row>
    <row r="189" spans="8:19" hidden="1"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</row>
    <row r="190" spans="8:19" hidden="1"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</row>
    <row r="191" spans="8:19" hidden="1"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</row>
    <row r="192" spans="8:19" hidden="1"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</row>
    <row r="193" spans="8:19" hidden="1"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</row>
    <row r="194" spans="8:19" hidden="1"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</row>
    <row r="195" spans="8:19" hidden="1"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</row>
    <row r="196" spans="8:19" hidden="1"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</row>
    <row r="197" spans="8:19" hidden="1"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</row>
    <row r="198" spans="8:19" hidden="1"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</row>
    <row r="199" spans="8:19" hidden="1"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</row>
    <row r="200" spans="8:19" hidden="1"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</row>
    <row r="201" spans="8:19" hidden="1"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</row>
    <row r="202" spans="8:19" hidden="1"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</row>
    <row r="203" spans="8:19" hidden="1"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</row>
    <row r="204" spans="8:19" hidden="1"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</row>
    <row r="205" spans="8:19" hidden="1"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</row>
    <row r="206" spans="8:19" hidden="1"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</row>
    <row r="207" spans="8:19" hidden="1"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</row>
    <row r="208" spans="8:19" hidden="1"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</row>
    <row r="209" spans="8:19" hidden="1"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</row>
    <row r="210" spans="8:19" hidden="1"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</row>
    <row r="211" spans="8:19" hidden="1"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</row>
    <row r="212" spans="8:19" hidden="1"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</row>
    <row r="213" spans="8:19" hidden="1"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</row>
    <row r="214" spans="8:19" hidden="1"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</row>
    <row r="215" spans="8:19" hidden="1"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</row>
    <row r="216" spans="8:19" hidden="1"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</row>
    <row r="217" spans="8:19" hidden="1"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</row>
    <row r="218" spans="8:19" hidden="1"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</row>
    <row r="219" spans="8:19" hidden="1"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</row>
    <row r="220" spans="8:19" hidden="1"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</row>
    <row r="221" spans="8:19" hidden="1"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</row>
    <row r="222" spans="8:19" hidden="1"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</row>
    <row r="223" spans="8:19" hidden="1"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</row>
    <row r="224" spans="8:19" hidden="1"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</row>
    <row r="225" spans="8:19" hidden="1"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</row>
    <row r="226" spans="8:19" hidden="1"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</row>
    <row r="227" spans="8:19" hidden="1"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</row>
    <row r="228" spans="8:19" hidden="1"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</row>
    <row r="229" spans="8:19" hidden="1"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</row>
    <row r="230" spans="8:19" hidden="1"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</row>
    <row r="231" spans="8:19" hidden="1"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</row>
    <row r="232" spans="8:19" hidden="1"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</row>
    <row r="233" spans="8:19" hidden="1"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</row>
    <row r="234" spans="8:19" hidden="1"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</row>
    <row r="235" spans="8:19" hidden="1"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</row>
    <row r="236" spans="8:19" hidden="1"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</row>
    <row r="237" spans="8:19" hidden="1"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</row>
    <row r="238" spans="8:19" hidden="1"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</row>
    <row r="239" spans="8:19" hidden="1"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</row>
    <row r="240" spans="8:19" hidden="1"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</row>
    <row r="241" spans="8:19" hidden="1"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</row>
    <row r="242" spans="8:19" hidden="1"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</row>
    <row r="243" spans="8:19"/>
    <row r="244" spans="8:19"/>
    <row r="245" spans="8:19"/>
    <row r="246" spans="8:19"/>
    <row r="247" spans="8:19"/>
    <row r="248" spans="8:19"/>
    <row r="249" spans="8:19"/>
    <row r="250" spans="8:19"/>
    <row r="251" spans="8:19"/>
    <row r="252" spans="8:19"/>
    <row r="253" spans="8:19"/>
  </sheetData>
  <conditionalFormatting sqref="Q1:S1">
    <cfRule type="cellIs" dxfId="30" priority="1" operator="equal">
      <formula>FALSE</formula>
    </cfRule>
  </conditionalFormatting>
  <pageMargins left="0.7" right="0.7" top="0.75" bottom="0.75" header="0.3" footer="0.3"/>
  <pageSetup paperSize="9" scale="75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53C-B2A6-4F5B-B760-40EAA8F27E39}">
  <sheetPr codeName="Sheet3">
    <pageSetUpPr autoPageBreaks="0" fitToPage="1"/>
  </sheetPr>
  <dimension ref="A1:AH469"/>
  <sheetViews>
    <sheetView showGridLines="0" tabSelected="1" zoomScale="70" zoomScaleNormal="70" workbookViewId="0">
      <selection activeCell="E20" sqref="E20"/>
    </sheetView>
  </sheetViews>
  <sheetFormatPr defaultColWidth="0" defaultRowHeight="13.8" zeroHeight="1" outlineLevelRow="3" outlineLevelCol="1"/>
  <cols>
    <col min="1" max="1" width="7.875" style="28" customWidth="1"/>
    <col min="2" max="2" width="1.75" style="6" customWidth="1"/>
    <col min="3" max="4" width="2.25" style="6" customWidth="1"/>
    <col min="5" max="5" width="3.875" style="6" customWidth="1"/>
    <col min="6" max="6" width="17.875" style="6" customWidth="1"/>
    <col min="7" max="7" width="14.125" style="6" customWidth="1"/>
    <col min="8" max="8" width="11.375" style="6" bestFit="1" customWidth="1"/>
    <col min="9" max="20" width="12.375" style="6" customWidth="1"/>
    <col min="21" max="22" width="9" style="6" customWidth="1"/>
    <col min="23" max="23" width="3.125" style="6" customWidth="1" outlineLevel="1"/>
    <col min="24" max="33" width="9" style="6" customWidth="1" outlineLevel="1"/>
    <col min="34" max="34" width="9" style="6" customWidth="1"/>
    <col min="35" max="16384" width="9" style="6" hidden="1"/>
  </cols>
  <sheetData>
    <row r="1" spans="1:17"/>
    <row r="2" spans="1:17" s="35" customFormat="1">
      <c r="A2" s="2" t="s">
        <v>41</v>
      </c>
    </row>
    <row r="3" spans="1:17" outlineLevel="1"/>
    <row r="4" spans="1:17" outlineLevel="1">
      <c r="B4" s="6" t="s">
        <v>0</v>
      </c>
      <c r="I4" s="36">
        <f>YEAR(I5)</f>
        <v>2024</v>
      </c>
      <c r="J4" s="36">
        <f>YEAR(J5)</f>
        <v>2025</v>
      </c>
      <c r="K4" s="36">
        <f t="shared" ref="K4:M4" si="0">YEAR(K5)</f>
        <v>2026</v>
      </c>
      <c r="L4" s="36">
        <f t="shared" si="0"/>
        <v>2027</v>
      </c>
      <c r="M4" s="36">
        <f t="shared" si="0"/>
        <v>2028</v>
      </c>
      <c r="N4" s="36">
        <f t="shared" ref="N4" si="1">YEAR(N5)</f>
        <v>2029</v>
      </c>
      <c r="O4" s="36">
        <f t="shared" ref="O4:Q4" si="2">YEAR(O5)</f>
        <v>2030</v>
      </c>
      <c r="P4" s="36">
        <f t="shared" si="2"/>
        <v>2031</v>
      </c>
      <c r="Q4" s="36">
        <f t="shared" si="2"/>
        <v>2032</v>
      </c>
    </row>
    <row r="5" spans="1:17" outlineLevel="1">
      <c r="B5" s="6" t="s">
        <v>1</v>
      </c>
      <c r="I5" s="37">
        <v>45657</v>
      </c>
      <c r="J5" s="37">
        <f>EDATE(I5,12)</f>
        <v>46022</v>
      </c>
      <c r="K5" s="37">
        <f t="shared" ref="K5:Q5" si="3">EDATE(J5,12)</f>
        <v>46387</v>
      </c>
      <c r="L5" s="37">
        <f t="shared" si="3"/>
        <v>46752</v>
      </c>
      <c r="M5" s="37">
        <f t="shared" si="3"/>
        <v>47118</v>
      </c>
      <c r="N5" s="37">
        <f t="shared" si="3"/>
        <v>47483</v>
      </c>
      <c r="O5" s="37">
        <f t="shared" si="3"/>
        <v>47848</v>
      </c>
      <c r="P5" s="37">
        <f t="shared" si="3"/>
        <v>48213</v>
      </c>
      <c r="Q5" s="37">
        <f t="shared" si="3"/>
        <v>48579</v>
      </c>
    </row>
    <row r="6" spans="1:17" outlineLevel="1">
      <c r="B6" s="6" t="s">
        <v>2</v>
      </c>
      <c r="I6" s="38" t="s">
        <v>3</v>
      </c>
      <c r="J6" s="38" t="s">
        <v>3</v>
      </c>
      <c r="K6" s="38" t="s">
        <v>271</v>
      </c>
      <c r="L6" s="38" t="s">
        <v>4</v>
      </c>
      <c r="M6" s="38" t="s">
        <v>4</v>
      </c>
      <c r="N6" s="38" t="s">
        <v>4</v>
      </c>
      <c r="O6" s="38" t="s">
        <v>4</v>
      </c>
      <c r="P6" s="38" t="s">
        <v>4</v>
      </c>
      <c r="Q6" s="38" t="s">
        <v>4</v>
      </c>
    </row>
    <row r="7" spans="1:17" outlineLevel="1"/>
    <row r="8" spans="1:17" outlineLevel="1">
      <c r="B8" s="6" t="s">
        <v>42</v>
      </c>
      <c r="I8" s="39" t="s">
        <v>314</v>
      </c>
    </row>
    <row r="9" spans="1:17" outlineLevel="1">
      <c r="B9" s="6" t="s">
        <v>180</v>
      </c>
      <c r="I9" s="39" t="s">
        <v>181</v>
      </c>
      <c r="L9" s="77" t="s">
        <v>181</v>
      </c>
      <c r="M9" s="77"/>
    </row>
    <row r="10" spans="1:17" outlineLevel="1">
      <c r="B10" s="6" t="s">
        <v>43</v>
      </c>
      <c r="I10" s="39" t="s">
        <v>50</v>
      </c>
      <c r="L10" s="77" t="s">
        <v>38</v>
      </c>
      <c r="M10" s="77"/>
    </row>
    <row r="11" spans="1:17" outlineLevel="1">
      <c r="B11" s="6" t="s">
        <v>244</v>
      </c>
      <c r="G11" s="27"/>
      <c r="I11" s="40">
        <v>46387</v>
      </c>
      <c r="J11" s="76" t="b">
        <f>I11&gt;I28</f>
        <v>1</v>
      </c>
      <c r="L11" s="77" t="s">
        <v>182</v>
      </c>
    </row>
    <row r="12" spans="1:17" outlineLevel="1">
      <c r="B12" s="6" t="s">
        <v>47</v>
      </c>
      <c r="G12" s="180"/>
      <c r="I12" s="41">
        <v>0.25</v>
      </c>
    </row>
    <row r="13" spans="1:17">
      <c r="G13" s="180"/>
      <c r="H13" s="42"/>
    </row>
    <row r="14" spans="1:17" s="35" customFormat="1">
      <c r="A14" s="2" t="s">
        <v>48</v>
      </c>
      <c r="G14" s="181"/>
      <c r="H14" s="43"/>
    </row>
    <row r="15" spans="1:17" s="231" customFormat="1" outlineLevel="1">
      <c r="A15" s="230"/>
      <c r="G15" s="180"/>
      <c r="H15" s="232"/>
    </row>
    <row r="16" spans="1:17" s="231" customFormat="1" outlineLevel="1">
      <c r="A16" s="230"/>
      <c r="B16" s="5" t="s">
        <v>266</v>
      </c>
      <c r="C16" s="6"/>
      <c r="D16" s="6"/>
      <c r="G16" s="180"/>
      <c r="H16" s="232"/>
      <c r="J16" s="30" t="s">
        <v>269</v>
      </c>
      <c r="O16" s="5" t="s">
        <v>276</v>
      </c>
    </row>
    <row r="17" spans="1:18" s="231" customFormat="1" outlineLevel="1">
      <c r="A17" s="230"/>
      <c r="B17" s="5"/>
      <c r="C17" s="6" t="s">
        <v>315</v>
      </c>
      <c r="D17" s="6"/>
      <c r="G17" s="180" t="s">
        <v>277</v>
      </c>
      <c r="H17" s="232"/>
      <c r="I17" s="102">
        <v>0</v>
      </c>
      <c r="J17" s="285"/>
      <c r="O17" s="290" t="s">
        <v>287</v>
      </c>
      <c r="P17" s="291"/>
      <c r="Q17" s="291"/>
      <c r="R17" s="292"/>
    </row>
    <row r="18" spans="1:18" s="231" customFormat="1" outlineLevel="1">
      <c r="A18" s="230"/>
      <c r="C18" s="6" t="s">
        <v>316</v>
      </c>
      <c r="D18" s="6"/>
      <c r="G18" s="180" t="s">
        <v>277</v>
      </c>
      <c r="H18" s="232"/>
      <c r="I18" s="102">
        <v>0</v>
      </c>
      <c r="J18" s="285"/>
      <c r="O18" s="6" t="s">
        <v>288</v>
      </c>
      <c r="R18" s="106"/>
    </row>
    <row r="19" spans="1:18" s="231" customFormat="1" outlineLevel="1">
      <c r="A19" s="230"/>
      <c r="C19" s="6" t="s">
        <v>317</v>
      </c>
      <c r="D19" s="6"/>
      <c r="G19" s="180" t="s">
        <v>277</v>
      </c>
      <c r="H19" s="232"/>
      <c r="I19" s="102">
        <v>1</v>
      </c>
      <c r="J19" s="285"/>
      <c r="O19" s="6" t="s">
        <v>289</v>
      </c>
      <c r="R19" s="106"/>
    </row>
    <row r="20" spans="1:18" s="231" customFormat="1" outlineLevel="1">
      <c r="A20" s="230"/>
      <c r="C20" s="6" t="s">
        <v>279</v>
      </c>
      <c r="D20" s="6"/>
      <c r="G20" s="180" t="s">
        <v>277</v>
      </c>
      <c r="H20" s="232"/>
      <c r="I20" s="102">
        <v>1</v>
      </c>
      <c r="J20" s="285"/>
      <c r="O20" s="6" t="s">
        <v>289</v>
      </c>
      <c r="R20" s="106"/>
    </row>
    <row r="21" spans="1:18" s="231" customFormat="1" outlineLevel="1">
      <c r="A21" s="230"/>
      <c r="C21" s="6" t="s">
        <v>283</v>
      </c>
      <c r="D21" s="6"/>
      <c r="G21" s="180" t="s">
        <v>277</v>
      </c>
      <c r="H21" s="232"/>
      <c r="I21" s="102">
        <v>0</v>
      </c>
      <c r="J21" s="285"/>
      <c r="O21" s="6" t="s">
        <v>289</v>
      </c>
      <c r="P21" s="6"/>
      <c r="Q21" s="6"/>
      <c r="R21" s="106"/>
    </row>
    <row r="22" spans="1:18" s="231" customFormat="1" outlineLevel="1">
      <c r="A22" s="230"/>
      <c r="C22" s="6"/>
      <c r="D22" s="6"/>
      <c r="G22" s="180"/>
      <c r="H22" s="232"/>
      <c r="I22" s="231">
        <v>0</v>
      </c>
      <c r="O22" s="6" t="s">
        <v>289</v>
      </c>
      <c r="P22" s="6"/>
      <c r="Q22" s="6"/>
      <c r="R22" s="106"/>
    </row>
    <row r="23" spans="1:18" s="231" customFormat="1" ht="13.95" customHeight="1" outlineLevel="1">
      <c r="A23" s="230"/>
      <c r="C23" s="6"/>
      <c r="D23" s="6"/>
      <c r="G23" s="180"/>
      <c r="H23" s="232"/>
      <c r="I23" s="231">
        <v>1</v>
      </c>
      <c r="O23" s="6" t="s">
        <v>289</v>
      </c>
      <c r="P23" s="6"/>
      <c r="Q23" s="6"/>
      <c r="R23" s="106"/>
    </row>
    <row r="24" spans="1:18" outlineLevel="1">
      <c r="G24" s="180"/>
      <c r="H24" s="42"/>
      <c r="J24" s="28" t="s">
        <v>138</v>
      </c>
      <c r="O24" s="5" t="s">
        <v>290</v>
      </c>
      <c r="P24" s="230"/>
      <c r="Q24" s="231"/>
      <c r="R24" s="289">
        <f>SUM(R17:R23)</f>
        <v>0</v>
      </c>
    </row>
    <row r="25" spans="1:18" outlineLevel="1">
      <c r="B25" s="6" t="s">
        <v>140</v>
      </c>
      <c r="G25" s="182" t="str">
        <f>H26&amp;" basis"</f>
        <v>Adj basis</v>
      </c>
      <c r="I25" s="44">
        <v>10</v>
      </c>
      <c r="J25" s="80">
        <v>0.5</v>
      </c>
      <c r="L25" s="77" t="s">
        <v>205</v>
      </c>
      <c r="M25" s="128">
        <f>INDEX($I$132:$Q$132,MATCH(EDATE(I11,-12),$I$127:$Q$127,0))</f>
        <v>10.569617467</v>
      </c>
    </row>
    <row r="26" spans="1:18" outlineLevel="1">
      <c r="B26" s="6" t="s">
        <v>141</v>
      </c>
      <c r="G26" s="27"/>
      <c r="H26" s="39" t="s">
        <v>282</v>
      </c>
      <c r="I26" s="127">
        <f>INDEX(M25:M28,MATCH(H26,L25:L28,0))</f>
        <v>13.5</v>
      </c>
      <c r="J26" s="4"/>
      <c r="L26" s="77" t="s">
        <v>206</v>
      </c>
      <c r="M26" s="128">
        <f>INDEX($I$132:$Q$132,MATCH(EDATE(I11,-12),$I$127:$Q$127,))*(1-stub)+G132</f>
        <v>11.024051338862687</v>
      </c>
    </row>
    <row r="27" spans="1:18" outlineLevel="1">
      <c r="B27" s="6" t="s">
        <v>59</v>
      </c>
      <c r="G27" s="182" t="s">
        <v>33</v>
      </c>
      <c r="I27" s="59">
        <f>+I25</f>
        <v>10</v>
      </c>
      <c r="J27" s="80">
        <v>0.5</v>
      </c>
      <c r="L27" s="77" t="s">
        <v>222</v>
      </c>
      <c r="M27" s="128">
        <f>INDEX($I$132:$Q$132,MATCH(I11,$I$127:$Q$127,0))*(1-stub)+G132</f>
        <v>11.478485210725372</v>
      </c>
    </row>
    <row r="28" spans="1:18" outlineLevel="1">
      <c r="B28" s="6" t="s">
        <v>44</v>
      </c>
      <c r="G28" s="182" t="s">
        <v>54</v>
      </c>
      <c r="I28" s="45">
        <v>46203</v>
      </c>
      <c r="L28" s="77" t="s">
        <v>282</v>
      </c>
      <c r="M28" s="129">
        <v>13.5</v>
      </c>
    </row>
    <row r="29" spans="1:18" outlineLevel="1">
      <c r="B29" s="6" t="s">
        <v>45</v>
      </c>
      <c r="G29" s="182" t="s">
        <v>55</v>
      </c>
      <c r="I29" s="46">
        <f>+MROUND((I11-I28)/365.25,1/12)</f>
        <v>0.5</v>
      </c>
    </row>
    <row r="30" spans="1:18" outlineLevel="1">
      <c r="B30" s="6" t="s">
        <v>52</v>
      </c>
      <c r="G30" s="182" t="s">
        <v>53</v>
      </c>
      <c r="I30" s="106">
        <v>5</v>
      </c>
      <c r="Q30" s="180"/>
    </row>
    <row r="31" spans="1:18" outlineLevel="1">
      <c r="B31" s="6" t="s">
        <v>60</v>
      </c>
      <c r="G31" s="182" t="s">
        <v>54</v>
      </c>
      <c r="I31" s="47">
        <f>EDATE(I28,(12*I30))</f>
        <v>48029</v>
      </c>
      <c r="P31" s="288"/>
    </row>
    <row r="32" spans="1:18" outlineLevel="1">
      <c r="B32" s="6" t="s">
        <v>61</v>
      </c>
      <c r="G32" s="182" t="s">
        <v>51</v>
      </c>
      <c r="I32" s="106">
        <v>2</v>
      </c>
    </row>
    <row r="33" spans="1:17" outlineLevel="1">
      <c r="B33" s="6" t="s">
        <v>46</v>
      </c>
      <c r="G33" s="182" t="s">
        <v>51</v>
      </c>
      <c r="I33" s="48">
        <f ca="1">+SUM(J46*I54,J47*I55)</f>
        <v>0.90845862128865007</v>
      </c>
    </row>
    <row r="34" spans="1:17" outlineLevel="1">
      <c r="B34" s="6" t="s">
        <v>83</v>
      </c>
      <c r="G34" s="182" t="s">
        <v>51</v>
      </c>
      <c r="H34" s="27"/>
      <c r="I34" s="48">
        <f ca="1">SUM(I32:I33)/I30</f>
        <v>0.58169172425773008</v>
      </c>
      <c r="Q34" s="180"/>
    </row>
    <row r="35" spans="1:17">
      <c r="G35" s="182"/>
      <c r="H35" s="42"/>
    </row>
    <row r="36" spans="1:17" s="35" customFormat="1">
      <c r="A36" s="2" t="s">
        <v>89</v>
      </c>
      <c r="G36" s="183"/>
      <c r="H36" s="43"/>
    </row>
    <row r="37" spans="1:17" outlineLevel="1">
      <c r="G37" s="182"/>
      <c r="H37" s="42"/>
      <c r="J37" s="28" t="s">
        <v>138</v>
      </c>
    </row>
    <row r="38" spans="1:17" outlineLevel="1">
      <c r="B38" s="6" t="s">
        <v>49</v>
      </c>
      <c r="G38" s="182" t="s">
        <v>267</v>
      </c>
      <c r="H38" s="49"/>
      <c r="I38" s="50">
        <v>5.73</v>
      </c>
      <c r="J38" s="80">
        <v>0.5</v>
      </c>
    </row>
    <row r="39" spans="1:17" outlineLevel="1">
      <c r="B39" s="6" t="s">
        <v>62</v>
      </c>
      <c r="G39" s="182" t="s">
        <v>54</v>
      </c>
      <c r="H39" s="66">
        <f>EDATE(I11,-12)</f>
        <v>46022</v>
      </c>
      <c r="I39" s="100">
        <f>INDEX($I$132:$Q$132,MATCH($H$39,$I$127:$Q$127,0))</f>
        <v>10.569617467</v>
      </c>
      <c r="J39" s="49"/>
    </row>
    <row r="40" spans="1:17" outlineLevel="1">
      <c r="B40" s="6" t="s">
        <v>63</v>
      </c>
      <c r="G40" s="182" t="s">
        <v>176</v>
      </c>
      <c r="H40" s="49"/>
      <c r="I40" s="51">
        <v>0.35</v>
      </c>
      <c r="J40" s="49"/>
    </row>
    <row r="41" spans="1:17" outlineLevel="1">
      <c r="A41" s="76" t="b">
        <f ca="1">SUM(H65:I65,O45:O47,J53,J41)=0</f>
        <v>1</v>
      </c>
      <c r="B41" s="6" t="s">
        <v>207</v>
      </c>
      <c r="G41" s="182"/>
      <c r="H41" s="49"/>
      <c r="I41" s="53">
        <f>+AVERAGEIFS(GBPSONIA!$C$10:$C$130,GBPSONIA!$B$10:$B$130,"&gt;="&amp;$I$28,GBPSONIA!$B$10:$B$130,"&lt;"&amp;I11)</f>
        <v>4.0617783333333331E-2</v>
      </c>
      <c r="J41" s="76" t="b">
        <f>I41=$K$220</f>
        <v>1</v>
      </c>
    </row>
    <row r="42" spans="1:17" outlineLevel="1">
      <c r="G42" s="182"/>
      <c r="H42" s="49"/>
      <c r="I42" s="49"/>
      <c r="J42" s="49"/>
    </row>
    <row r="43" spans="1:17" outlineLevel="2">
      <c r="G43" s="182"/>
      <c r="H43" s="27" t="s">
        <v>9</v>
      </c>
      <c r="I43" s="27" t="s">
        <v>162</v>
      </c>
      <c r="J43" s="27" t="s">
        <v>163</v>
      </c>
      <c r="K43" s="27" t="s">
        <v>92</v>
      </c>
      <c r="L43" s="27" t="s">
        <v>186</v>
      </c>
      <c r="M43" s="27" t="s">
        <v>188</v>
      </c>
      <c r="N43" s="28" t="s">
        <v>120</v>
      </c>
    </row>
    <row r="44" spans="1:17" outlineLevel="2">
      <c r="B44" s="6" t="s">
        <v>6</v>
      </c>
      <c r="G44" s="182" t="s">
        <v>176</v>
      </c>
      <c r="H44" s="52">
        <v>0</v>
      </c>
      <c r="I44" s="52">
        <v>0</v>
      </c>
      <c r="J44" s="49"/>
      <c r="K44" s="102">
        <v>1</v>
      </c>
    </row>
    <row r="45" spans="1:17" outlineLevel="2">
      <c r="B45" s="6" t="s">
        <v>88</v>
      </c>
      <c r="G45" s="182" t="s">
        <v>176</v>
      </c>
      <c r="H45" s="52">
        <v>0.05</v>
      </c>
      <c r="I45" s="52">
        <f>$I$41</f>
        <v>4.0617783333333331E-2</v>
      </c>
      <c r="J45" s="82">
        <v>0</v>
      </c>
      <c r="K45" s="102">
        <v>0</v>
      </c>
      <c r="L45" s="109">
        <v>1</v>
      </c>
      <c r="N45" s="102">
        <v>1</v>
      </c>
      <c r="O45" s="76" t="b">
        <f>I45=$K$220</f>
        <v>1</v>
      </c>
    </row>
    <row r="46" spans="1:17" outlineLevel="2">
      <c r="B46" s="6" t="s">
        <v>80</v>
      </c>
      <c r="G46" s="182" t="s">
        <v>176</v>
      </c>
      <c r="H46" s="52">
        <v>0.05</v>
      </c>
      <c r="I46" s="52">
        <f t="shared" ref="I46:I47" si="4">$I$41</f>
        <v>4.0617783333333331E-2</v>
      </c>
      <c r="J46" s="82">
        <v>1.4999999999999999E-2</v>
      </c>
      <c r="K46" s="102">
        <v>0</v>
      </c>
      <c r="L46" s="109">
        <v>1</v>
      </c>
      <c r="M46" s="109">
        <v>0</v>
      </c>
      <c r="N46" s="109">
        <v>0</v>
      </c>
      <c r="O46" s="76" t="b">
        <f>I46=$K$220</f>
        <v>1</v>
      </c>
    </row>
    <row r="47" spans="1:17" outlineLevel="2">
      <c r="B47" s="6" t="s">
        <v>81</v>
      </c>
      <c r="G47" s="182" t="s">
        <v>176</v>
      </c>
      <c r="H47" s="52">
        <v>0.05</v>
      </c>
      <c r="I47" s="52">
        <f t="shared" si="4"/>
        <v>4.0617783333333331E-2</v>
      </c>
      <c r="J47" s="82">
        <v>0</v>
      </c>
      <c r="K47" s="102">
        <v>0</v>
      </c>
      <c r="L47" s="109">
        <v>1</v>
      </c>
      <c r="M47" s="109">
        <v>0</v>
      </c>
      <c r="N47" s="109">
        <v>0</v>
      </c>
      <c r="O47" s="76" t="b">
        <f>I47=$K$220</f>
        <v>1</v>
      </c>
    </row>
    <row r="48" spans="1:17" outlineLevel="1">
      <c r="G48" s="182"/>
      <c r="H48" s="27"/>
      <c r="I48" s="27"/>
      <c r="J48" s="27"/>
      <c r="K48" s="27"/>
      <c r="L48" s="76"/>
    </row>
    <row r="49" spans="1:10" outlineLevel="2">
      <c r="B49" s="6" t="s">
        <v>167</v>
      </c>
      <c r="G49" s="182" t="s">
        <v>176</v>
      </c>
      <c r="H49" s="52">
        <v>0</v>
      </c>
      <c r="I49" s="139"/>
      <c r="J49" s="49"/>
    </row>
    <row r="50" spans="1:10" outlineLevel="2">
      <c r="B50" s="6" t="s">
        <v>179</v>
      </c>
      <c r="G50" s="182" t="s">
        <v>51</v>
      </c>
      <c r="H50" s="106">
        <v>0</v>
      </c>
      <c r="I50" s="5"/>
      <c r="J50" s="49"/>
    </row>
    <row r="51" spans="1:10" outlineLevel="2">
      <c r="G51" s="42"/>
      <c r="H51" s="49"/>
      <c r="I51" s="49"/>
      <c r="J51" s="49"/>
    </row>
    <row r="52" spans="1:10" outlineLevel="1">
      <c r="B52" s="5" t="s">
        <v>90</v>
      </c>
      <c r="G52" s="42"/>
      <c r="H52" s="49"/>
      <c r="I52" s="49"/>
      <c r="J52" s="49"/>
    </row>
    <row r="53" spans="1:10" s="5" customFormat="1" outlineLevel="1">
      <c r="A53" s="30"/>
      <c r="C53" s="5" t="s">
        <v>82</v>
      </c>
      <c r="G53" s="182" t="s">
        <v>51</v>
      </c>
      <c r="H53" s="56"/>
      <c r="I53" s="29">
        <f ca="1">+MIN((1-I40)*I76,(I38*I39))</f>
        <v>60.563908085910008</v>
      </c>
      <c r="J53" s="76" t="b">
        <f ca="1">ROUND((I53),3)=ROUND(SUM(I54:I55),3)</f>
        <v>1</v>
      </c>
    </row>
    <row r="54" spans="1:10" outlineLevel="1">
      <c r="C54" s="6" t="s">
        <v>56</v>
      </c>
      <c r="G54" s="182" t="s">
        <v>178</v>
      </c>
      <c r="H54" s="51">
        <v>1</v>
      </c>
      <c r="I54" s="54">
        <f ca="1">+I53*H54</f>
        <v>60.563908085910008</v>
      </c>
      <c r="J54" s="49"/>
    </row>
    <row r="55" spans="1:10" outlineLevel="1">
      <c r="C55" s="6" t="s">
        <v>84</v>
      </c>
      <c r="G55" s="182" t="s">
        <v>178</v>
      </c>
      <c r="H55" s="55">
        <f>1-H54</f>
        <v>0</v>
      </c>
      <c r="I55" s="54">
        <f ca="1">+I53*H55</f>
        <v>0</v>
      </c>
      <c r="J55" s="49"/>
    </row>
    <row r="56" spans="1:10" outlineLevel="1">
      <c r="C56" s="6" t="s">
        <v>245</v>
      </c>
      <c r="G56" s="182" t="s">
        <v>177</v>
      </c>
      <c r="H56" s="106">
        <v>25</v>
      </c>
      <c r="I56" s="102">
        <v>0</v>
      </c>
      <c r="J56" s="49"/>
    </row>
    <row r="57" spans="1:10" outlineLevel="1">
      <c r="G57" s="42"/>
      <c r="H57" s="49"/>
      <c r="I57" s="54"/>
      <c r="J57" s="49"/>
    </row>
    <row r="58" spans="1:10" outlineLevel="1">
      <c r="B58" s="5" t="s">
        <v>97</v>
      </c>
      <c r="G58" s="42"/>
      <c r="H58" s="3" t="s">
        <v>22</v>
      </c>
      <c r="I58" s="3" t="s">
        <v>23</v>
      </c>
      <c r="J58" s="3" t="s">
        <v>8</v>
      </c>
    </row>
    <row r="59" spans="1:10" outlineLevel="1">
      <c r="C59" s="6" t="s">
        <v>24</v>
      </c>
      <c r="G59" s="182" t="s">
        <v>176</v>
      </c>
      <c r="H59" s="51">
        <v>0.01</v>
      </c>
      <c r="I59" s="56">
        <f>1-H59</f>
        <v>0.99</v>
      </c>
      <c r="J59" s="56">
        <f>SUM(H59:I59)</f>
        <v>1</v>
      </c>
    </row>
    <row r="60" spans="1:10" outlineLevel="1">
      <c r="G60" s="42"/>
      <c r="I60" s="56"/>
      <c r="J60" s="56"/>
    </row>
    <row r="61" spans="1:10" outlineLevel="1">
      <c r="C61" s="6" t="s">
        <v>25</v>
      </c>
      <c r="G61" s="182" t="s">
        <v>176</v>
      </c>
      <c r="H61" s="55">
        <f>1-H63-H62</f>
        <v>0.85</v>
      </c>
      <c r="I61" s="51">
        <v>1</v>
      </c>
      <c r="J61" s="49"/>
    </row>
    <row r="62" spans="1:10" outlineLevel="1">
      <c r="C62" s="6" t="s">
        <v>91</v>
      </c>
      <c r="G62" s="182" t="s">
        <v>176</v>
      </c>
      <c r="H62" s="51">
        <v>0</v>
      </c>
      <c r="I62" s="51">
        <v>0</v>
      </c>
      <c r="J62" s="49"/>
    </row>
    <row r="63" spans="1:10" outlineLevel="1">
      <c r="C63" s="6" t="s">
        <v>57</v>
      </c>
      <c r="G63" s="182" t="s">
        <v>176</v>
      </c>
      <c r="H63" s="51">
        <v>0.15</v>
      </c>
      <c r="I63" s="55">
        <f>MAX(1-I61-I62,0)</f>
        <v>0</v>
      </c>
      <c r="J63" s="49"/>
    </row>
    <row r="64" spans="1:10" outlineLevel="1">
      <c r="C64" s="6" t="s">
        <v>214</v>
      </c>
      <c r="G64" s="182"/>
      <c r="H64" s="102">
        <v>0</v>
      </c>
      <c r="I64" s="55"/>
      <c r="J64" s="49"/>
    </row>
    <row r="65" spans="1:18" s="28" customFormat="1" outlineLevel="1">
      <c r="C65" s="60"/>
      <c r="G65" s="182"/>
      <c r="H65" s="76" t="b">
        <f>SUM(H61:H63)=100%</f>
        <v>1</v>
      </c>
      <c r="I65" s="76" t="b">
        <f>SUM(I61:I63)=100%</f>
        <v>1</v>
      </c>
      <c r="J65" s="27"/>
    </row>
    <row r="66" spans="1:18" outlineLevel="1">
      <c r="C66" s="6" t="s">
        <v>58</v>
      </c>
      <c r="G66" s="182" t="s">
        <v>176</v>
      </c>
      <c r="H66" s="49"/>
      <c r="I66" s="51">
        <v>0.1</v>
      </c>
      <c r="J66" s="49"/>
    </row>
    <row r="67" spans="1:18">
      <c r="H67" s="49"/>
      <c r="I67" s="49"/>
      <c r="J67" s="49"/>
    </row>
    <row r="68" spans="1:18" s="35" customFormat="1">
      <c r="A68" s="2" t="s">
        <v>64</v>
      </c>
    </row>
    <row r="69" spans="1:18" outlineLevel="1"/>
    <row r="70" spans="1:18" outlineLevel="1">
      <c r="B70" s="12" t="s">
        <v>65</v>
      </c>
      <c r="C70" s="57"/>
      <c r="D70" s="57"/>
      <c r="E70" s="57"/>
      <c r="F70" s="57"/>
      <c r="G70" s="57"/>
      <c r="H70" s="57"/>
      <c r="I70" s="58"/>
      <c r="K70" s="12" t="s">
        <v>258</v>
      </c>
      <c r="L70" s="57"/>
      <c r="M70" s="57"/>
      <c r="N70" s="57"/>
      <c r="O70" s="58"/>
    </row>
    <row r="71" spans="1:18" outlineLevel="1">
      <c r="C71" s="4" t="str">
        <f>"Assumed acquisition date: "&amp;TEXT(I28,"DD/MM/YY")</f>
        <v>Assumed acquisition date: 30/06/26</v>
      </c>
      <c r="L71" s="4"/>
      <c r="M71" s="3" t="s">
        <v>22</v>
      </c>
      <c r="N71" s="3" t="s">
        <v>23</v>
      </c>
      <c r="O71" s="3" t="s">
        <v>8</v>
      </c>
    </row>
    <row r="72" spans="1:18" outlineLevel="1">
      <c r="C72" s="6" t="str">
        <f>+H26</f>
        <v>Adj</v>
      </c>
      <c r="I72" s="10">
        <f>+I26</f>
        <v>13.5</v>
      </c>
      <c r="J72" s="10"/>
      <c r="K72" s="6" t="s">
        <v>27</v>
      </c>
      <c r="M72" s="10">
        <f ca="1">+M75*H61</f>
        <v>0.65742867955071838</v>
      </c>
      <c r="N72" s="10">
        <f ca="1">+N75*I61</f>
        <v>76.571105030024839</v>
      </c>
      <c r="O72" s="10">
        <f ca="1">SUM(M72:N72)</f>
        <v>77.228533709575558</v>
      </c>
      <c r="P72" s="76" t="b">
        <f ca="1">ROUND(O72+SUM(O73:O74),3)=ROUND(O75,3)</f>
        <v>1</v>
      </c>
      <c r="R72" s="10"/>
    </row>
    <row r="73" spans="1:18" outlineLevel="1">
      <c r="C73" s="6" t="str">
        <f>+B25</f>
        <v xml:space="preserve">Acquisition multiple </v>
      </c>
      <c r="I73" s="59">
        <f>+I25</f>
        <v>10</v>
      </c>
      <c r="J73" s="10"/>
      <c r="K73" s="6" t="s">
        <v>91</v>
      </c>
      <c r="M73" s="10">
        <f ca="1">+M75*H62</f>
        <v>0</v>
      </c>
      <c r="N73" s="10">
        <f ca="1">+N75*I62</f>
        <v>0</v>
      </c>
      <c r="O73" s="10">
        <f ca="1">SUM(M73:N73)</f>
        <v>0</v>
      </c>
      <c r="P73" s="49"/>
      <c r="R73" s="59"/>
    </row>
    <row r="74" spans="1:18" s="5" customFormat="1" outlineLevel="1">
      <c r="A74" s="30"/>
      <c r="C74" s="7" t="s">
        <v>11</v>
      </c>
      <c r="I74" s="8">
        <f>I72*I73</f>
        <v>135</v>
      </c>
      <c r="J74" s="9"/>
      <c r="K74" s="6" t="s">
        <v>26</v>
      </c>
      <c r="L74" s="7"/>
      <c r="M74" s="10">
        <f ca="1">+M75*H63</f>
        <v>0.11601682580306794</v>
      </c>
      <c r="N74" s="10">
        <f ca="1">+N75*I63</f>
        <v>0</v>
      </c>
      <c r="O74" s="10">
        <f ca="1">+SUM(M74:N74)</f>
        <v>0.11601682580306794</v>
      </c>
      <c r="P74" s="3"/>
      <c r="R74" s="9"/>
    </row>
    <row r="75" spans="1:18" outlineLevel="1">
      <c r="C75" s="6" t="s">
        <v>66</v>
      </c>
      <c r="I75" s="10">
        <f ca="1">+SUM(I32:I33)</f>
        <v>2.9084586212886503</v>
      </c>
      <c r="J75" s="10"/>
      <c r="K75" s="7" t="s">
        <v>39</v>
      </c>
      <c r="M75" s="8">
        <f ca="1">+O75*H59</f>
        <v>0.77344550535378631</v>
      </c>
      <c r="N75" s="8">
        <f ca="1">+O75-M75</f>
        <v>76.571105030024839</v>
      </c>
      <c r="O75" s="8">
        <f ca="1">G95</f>
        <v>77.34455053537863</v>
      </c>
      <c r="P75" s="76" t="b">
        <f ca="1">ROUND(O75,3)=ROUND(SUM(O72:O74),3)</f>
        <v>1</v>
      </c>
      <c r="R75" s="10"/>
    </row>
    <row r="76" spans="1:18" s="5" customFormat="1" outlineLevel="1">
      <c r="A76" s="76" t="b">
        <f ca="1">+SUM(M76:O76,P72:P75)=0</f>
        <v>1</v>
      </c>
      <c r="C76" s="7" t="s">
        <v>67</v>
      </c>
      <c r="I76" s="8">
        <f ca="1">+I74+I75</f>
        <v>137.90845862128864</v>
      </c>
      <c r="J76" s="9"/>
      <c r="K76" s="60"/>
      <c r="L76" s="60"/>
      <c r="M76" s="76" t="b">
        <f ca="1">+ROUND(SUM(M72:M74),3)=ROUND(M75,3)</f>
        <v>1</v>
      </c>
      <c r="N76" s="76" t="b">
        <f ca="1">+ROUND(SUM(N72:N74),3)=ROUND(N75,3)</f>
        <v>1</v>
      </c>
      <c r="O76" s="76" t="b">
        <f ca="1">+ROUND(SUM(O72:O74),3)=ROUND(O75,3)</f>
        <v>1</v>
      </c>
      <c r="R76" s="9"/>
    </row>
    <row r="77" spans="1:18" s="5" customFormat="1" outlineLevel="1">
      <c r="A77" s="30"/>
      <c r="C77" s="7" t="s">
        <v>68</v>
      </c>
      <c r="D77" s="6"/>
      <c r="E77" s="6"/>
      <c r="F77" s="6"/>
      <c r="G77" s="6"/>
      <c r="H77" s="6"/>
      <c r="I77" s="59">
        <f ca="1">+I76/I72</f>
        <v>10.215441379354715</v>
      </c>
      <c r="J77" s="9"/>
      <c r="K77" s="4" t="str">
        <f>"Management Package: "&amp;TEXT(H63,"0%")&amp;" over "&amp;TEXT(I66,"0%")</f>
        <v>Management Package: 15% over 10%</v>
      </c>
      <c r="L77" s="7"/>
      <c r="R77" s="11"/>
    </row>
    <row r="78" spans="1:18" outlineLevel="1">
      <c r="I78" s="10"/>
      <c r="J78" s="10"/>
    </row>
    <row r="79" spans="1:18" outlineLevel="1">
      <c r="B79" s="12" t="s">
        <v>94</v>
      </c>
      <c r="C79" s="57"/>
      <c r="D79" s="57"/>
      <c r="E79" s="57"/>
      <c r="F79" s="57"/>
      <c r="G79" s="57"/>
      <c r="H79" s="57"/>
      <c r="I79" s="58"/>
      <c r="J79" s="10"/>
      <c r="K79" s="12" t="s">
        <v>98</v>
      </c>
      <c r="L79" s="57"/>
      <c r="M79" s="57"/>
      <c r="N79" s="57"/>
      <c r="O79" s="58"/>
    </row>
    <row r="80" spans="1:18" outlineLevel="1">
      <c r="B80" s="6" t="s">
        <v>93</v>
      </c>
      <c r="I80" s="10">
        <f>+I74-I81</f>
        <v>135</v>
      </c>
      <c r="J80" s="10"/>
      <c r="K80" s="5" t="s">
        <v>99</v>
      </c>
      <c r="L80" s="5"/>
      <c r="M80" s="69">
        <f>+H39</f>
        <v>46022</v>
      </c>
      <c r="N80" s="69">
        <f>EDATE(M80,12)</f>
        <v>46387</v>
      </c>
      <c r="O80" s="69">
        <f>EDATE(N80,12)</f>
        <v>46752</v>
      </c>
    </row>
    <row r="81" spans="1:15" outlineLevel="1">
      <c r="B81" s="6" t="s">
        <v>95</v>
      </c>
      <c r="I81" s="106">
        <v>0</v>
      </c>
      <c r="J81" s="10"/>
      <c r="K81" s="6" t="s">
        <v>14</v>
      </c>
      <c r="M81" s="59">
        <f ca="1">I76/K132</f>
        <v>12.014517254631166</v>
      </c>
      <c r="N81" s="59">
        <f ca="1">I76/L132</f>
        <v>10.199387608834439</v>
      </c>
      <c r="O81" s="59">
        <f ca="1">I76/M132</f>
        <v>9.6914606509267891</v>
      </c>
    </row>
    <row r="82" spans="1:15" outlineLevel="1">
      <c r="B82" s="6" t="s">
        <v>12</v>
      </c>
      <c r="I82" s="10">
        <f ca="1">SUM(I32:I33)</f>
        <v>2.9084586212886503</v>
      </c>
      <c r="J82" s="10"/>
      <c r="K82" s="6" t="s">
        <v>15</v>
      </c>
      <c r="M82" s="59">
        <f ca="1">I76/(K132+OpModel_Link!J40)</f>
        <v>13.179343801053472</v>
      </c>
      <c r="N82" s="59">
        <f ca="1">I76/(L132+OpModel_Link!K40)</f>
        <v>11.01395392562411</v>
      </c>
      <c r="O82" s="59">
        <f ca="1">I76/(M132+OpModel_Link!L40)</f>
        <v>10.424003223559581</v>
      </c>
    </row>
    <row r="83" spans="1:15" outlineLevel="1">
      <c r="B83" s="7" t="s">
        <v>96</v>
      </c>
      <c r="I83" s="8">
        <f ca="1">SUM(I80:I82)</f>
        <v>137.90845862128864</v>
      </c>
      <c r="J83" s="76" t="b">
        <f ca="1">I83=I76</f>
        <v>1</v>
      </c>
      <c r="M83" s="59"/>
      <c r="N83" s="59"/>
      <c r="O83" s="59"/>
    </row>
    <row r="84" spans="1:15" outlineLevel="1">
      <c r="A84" s="76" t="b">
        <f ca="1">+SUM(J83,L92,G97)=0</f>
        <v>1</v>
      </c>
    </row>
    <row r="85" spans="1:15" outlineLevel="1">
      <c r="I85" s="10"/>
      <c r="J85" s="10"/>
    </row>
    <row r="86" spans="1:15" outlineLevel="1">
      <c r="B86" s="12" t="s">
        <v>69</v>
      </c>
      <c r="C86" s="57"/>
      <c r="D86" s="57"/>
      <c r="E86" s="57"/>
      <c r="F86" s="57"/>
      <c r="G86" s="57"/>
      <c r="H86" s="57"/>
      <c r="I86" s="57"/>
      <c r="J86" s="57"/>
      <c r="K86" s="58"/>
    </row>
    <row r="87" spans="1:15" outlineLevel="1">
      <c r="B87" s="62"/>
      <c r="C87" s="63"/>
      <c r="D87" s="63"/>
      <c r="E87" s="63"/>
      <c r="F87" s="63"/>
      <c r="G87" s="63"/>
      <c r="H87" s="63"/>
      <c r="I87" s="65" t="s">
        <v>5</v>
      </c>
      <c r="J87" s="64"/>
      <c r="K87" s="64"/>
      <c r="L87" s="64"/>
    </row>
    <row r="88" spans="1:15" s="3" customFormat="1" outlineLevel="1">
      <c r="A88" s="30"/>
      <c r="G88" s="67" t="s">
        <v>7</v>
      </c>
      <c r="H88" s="67" t="s">
        <v>286</v>
      </c>
      <c r="I88" s="67" t="s">
        <v>77</v>
      </c>
      <c r="J88" s="68" t="s">
        <v>9</v>
      </c>
      <c r="K88" s="68" t="s">
        <v>79</v>
      </c>
      <c r="L88" s="64"/>
    </row>
    <row r="89" spans="1:15" outlineLevel="1">
      <c r="B89" s="6" t="s">
        <v>6</v>
      </c>
      <c r="G89" s="254">
        <f>-Min_cash</f>
        <v>0</v>
      </c>
      <c r="H89" s="255">
        <f ca="1">+G89/I76</f>
        <v>0</v>
      </c>
      <c r="I89" s="256">
        <f>+G89/I39</f>
        <v>0</v>
      </c>
      <c r="J89" s="257"/>
      <c r="K89" s="258"/>
    </row>
    <row r="90" spans="1:15" outlineLevel="1">
      <c r="B90" s="6" t="str">
        <f>+B46</f>
        <v>TL A (rate)</v>
      </c>
      <c r="G90" s="254">
        <f ca="1">+I54</f>
        <v>60.563908085910008</v>
      </c>
      <c r="H90" s="259">
        <f ca="1">+G90/I76</f>
        <v>0.43916021316883086</v>
      </c>
      <c r="I90" s="256">
        <f ca="1">+G90/I39</f>
        <v>5.73</v>
      </c>
      <c r="J90" s="260">
        <f>+H46</f>
        <v>0.05</v>
      </c>
      <c r="K90" s="261">
        <f>SUM(H46:I46)</f>
        <v>9.061778333333334E-2</v>
      </c>
      <c r="L90" s="49"/>
    </row>
    <row r="91" spans="1:15" outlineLevel="1">
      <c r="B91" s="6" t="str">
        <f>+B47</f>
        <v>TL B (rate)</v>
      </c>
      <c r="G91" s="254">
        <f ca="1">+I55</f>
        <v>0</v>
      </c>
      <c r="H91" s="259">
        <f ca="1">+G91/I76</f>
        <v>0</v>
      </c>
      <c r="I91" s="256">
        <f ca="1">+G91/I39</f>
        <v>0</v>
      </c>
      <c r="J91" s="260">
        <f>+H47</f>
        <v>0.05</v>
      </c>
      <c r="K91" s="261">
        <f>SUM(H47:I47)</f>
        <v>9.061778333333334E-2</v>
      </c>
      <c r="L91" s="49"/>
    </row>
    <row r="92" spans="1:15" outlineLevel="1">
      <c r="A92" s="104"/>
      <c r="B92" s="7" t="s">
        <v>10</v>
      </c>
      <c r="C92" s="5"/>
      <c r="D92" s="5"/>
      <c r="E92" s="5"/>
      <c r="F92" s="5"/>
      <c r="G92" s="262">
        <f ca="1">SUM(G89:G91)</f>
        <v>60.563908085910008</v>
      </c>
      <c r="H92" s="263">
        <f ca="1">+G92/I76</f>
        <v>0.43916021316883086</v>
      </c>
      <c r="I92" s="264">
        <f ca="1">+G92/I39</f>
        <v>5.73</v>
      </c>
      <c r="J92" s="265">
        <f ca="1">SUMPRODUCT(J89:J91,G89:G91)/G92</f>
        <v>0.05</v>
      </c>
      <c r="K92" s="266">
        <f ca="1">SUMPRODUCT(K89:K91,G89:G91)/G92</f>
        <v>9.061778333333334E-2</v>
      </c>
      <c r="L92" s="76" t="b">
        <f ca="1">G92=I53</f>
        <v>1</v>
      </c>
    </row>
    <row r="93" spans="1:15" outlineLevel="1">
      <c r="B93" s="6" t="s">
        <v>85</v>
      </c>
      <c r="G93" s="267">
        <f ca="1">+O72</f>
        <v>77.228533709575558</v>
      </c>
      <c r="H93" s="259">
        <f ca="1">+G93/I76</f>
        <v>0.55999852715092235</v>
      </c>
      <c r="I93" s="256">
        <f ca="1">+G93/I39</f>
        <v>7.3066536183258401</v>
      </c>
      <c r="J93" s="254"/>
      <c r="K93" s="268"/>
    </row>
    <row r="94" spans="1:15" outlineLevel="1">
      <c r="B94" s="6" t="s">
        <v>86</v>
      </c>
      <c r="G94" s="267">
        <f ca="1">+SUM(O73:O74)</f>
        <v>0.11601682580306794</v>
      </c>
      <c r="H94" s="259">
        <f ca="1">+G94/I76</f>
        <v>8.4125968024675358E-4</v>
      </c>
      <c r="I94" s="256">
        <f ca="1">+G94/I39</f>
        <v>1.0976445095131458E-2</v>
      </c>
      <c r="J94" s="254"/>
      <c r="K94" s="268"/>
    </row>
    <row r="95" spans="1:15" outlineLevel="1">
      <c r="B95" s="7" t="s">
        <v>87</v>
      </c>
      <c r="G95" s="269">
        <f ca="1">I76-G92</f>
        <v>77.34455053537863</v>
      </c>
      <c r="H95" s="263">
        <f ca="1">+G95/I76</f>
        <v>0.56083978683116908</v>
      </c>
      <c r="I95" s="264">
        <f ca="1">+G95/I39</f>
        <v>7.3176300634209719</v>
      </c>
      <c r="J95" s="254"/>
      <c r="K95" s="268"/>
    </row>
    <row r="96" spans="1:15" outlineLevel="1">
      <c r="A96" s="104"/>
      <c r="B96" s="7" t="s">
        <v>13</v>
      </c>
      <c r="G96" s="270">
        <f ca="1">+I83</f>
        <v>137.90845862128864</v>
      </c>
      <c r="H96" s="271">
        <f ca="1">+G96/I76</f>
        <v>1</v>
      </c>
      <c r="I96" s="317">
        <f ca="1">+G96/I39</f>
        <v>13.047630063420973</v>
      </c>
      <c r="J96" s="254"/>
      <c r="K96" s="268"/>
    </row>
    <row r="97" spans="1:17" outlineLevel="1">
      <c r="G97" s="76" t="b">
        <f ca="1">+G96=SUM(G95,G92)</f>
        <v>1</v>
      </c>
      <c r="I97" s="10"/>
      <c r="J97" s="10"/>
    </row>
    <row r="98" spans="1:17">
      <c r="I98" s="10"/>
      <c r="J98" s="10"/>
    </row>
    <row r="99" spans="1:17" s="35" customFormat="1">
      <c r="A99" s="2" t="s">
        <v>187</v>
      </c>
    </row>
    <row r="100" spans="1:17" outlineLevel="1">
      <c r="I100" s="76" t="b">
        <f t="shared" ref="I100:Q100" si="5">+I103=Y186</f>
        <v>1</v>
      </c>
      <c r="J100" s="76" t="b">
        <f t="shared" si="5"/>
        <v>1</v>
      </c>
      <c r="K100" s="76" t="b">
        <f t="shared" si="5"/>
        <v>1</v>
      </c>
      <c r="L100" s="76" t="b">
        <f t="shared" si="5"/>
        <v>1</v>
      </c>
      <c r="M100" s="76" t="b">
        <f t="shared" si="5"/>
        <v>1</v>
      </c>
      <c r="N100" s="76" t="b">
        <f t="shared" si="5"/>
        <v>1</v>
      </c>
      <c r="O100" s="76" t="b">
        <f t="shared" si="5"/>
        <v>1</v>
      </c>
      <c r="P100" s="76" t="b">
        <f t="shared" si="5"/>
        <v>1</v>
      </c>
      <c r="Q100" s="76" t="b">
        <f t="shared" si="5"/>
        <v>1</v>
      </c>
    </row>
    <row r="101" spans="1:17" ht="14.4" outlineLevel="1" thickBot="1">
      <c r="I101" s="194" t="str">
        <f>I9&amp;" model, assuming holding period of "&amp;TEXT(I30,"0")&amp;" years (exit "&amp;TEXT(I31,"mmm yyyy")&amp;" )"</f>
        <v>Management model, assuming holding period of 5 years (exit Jun 2031 )</v>
      </c>
      <c r="J101" s="193"/>
      <c r="K101" s="193"/>
      <c r="L101" s="193"/>
      <c r="M101" s="193"/>
      <c r="N101" s="193"/>
      <c r="O101" s="193"/>
      <c r="P101" s="193"/>
      <c r="Q101" s="193"/>
    </row>
    <row r="102" spans="1:17" s="5" customFormat="1" outlineLevel="1">
      <c r="A102" s="30"/>
      <c r="B102" s="5" t="s">
        <v>11</v>
      </c>
      <c r="G102" s="192" t="s">
        <v>14</v>
      </c>
      <c r="I102" s="233">
        <f t="shared" ref="I102:J102" si="6">J102-$G$103*$J$25</f>
        <v>108</v>
      </c>
      <c r="J102" s="233">
        <f t="shared" si="6"/>
        <v>114.75</v>
      </c>
      <c r="K102" s="233">
        <f>L102-$G$103*$J$25</f>
        <v>121.5</v>
      </c>
      <c r="L102" s="234">
        <f t="shared" ref="L102" si="7">M102-$G$103*$J$25</f>
        <v>128.25</v>
      </c>
      <c r="M102" s="278">
        <f>I74</f>
        <v>135</v>
      </c>
      <c r="N102" s="235">
        <f>M102+$G$103*$J$25</f>
        <v>141.75</v>
      </c>
      <c r="O102" s="233">
        <f t="shared" ref="O102:Q102" si="8">N102+$G$103*$J$25</f>
        <v>148.5</v>
      </c>
      <c r="P102" s="233">
        <f t="shared" si="8"/>
        <v>155.25</v>
      </c>
      <c r="Q102" s="233">
        <f t="shared" si="8"/>
        <v>162</v>
      </c>
    </row>
    <row r="103" spans="1:17" s="5" customFormat="1" outlineLevel="1">
      <c r="A103" s="30"/>
      <c r="B103" s="5" t="str">
        <f>"x "&amp;G26</f>
        <v xml:space="preserve">x </v>
      </c>
      <c r="G103" s="177">
        <f>I26</f>
        <v>13.5</v>
      </c>
      <c r="I103" s="236">
        <f t="shared" ref="I103:P103" si="9">ROUND(I102/$G$103,3)</f>
        <v>8</v>
      </c>
      <c r="J103" s="236">
        <f t="shared" si="9"/>
        <v>8.5</v>
      </c>
      <c r="K103" s="236">
        <f t="shared" si="9"/>
        <v>9</v>
      </c>
      <c r="L103" s="237">
        <f t="shared" si="9"/>
        <v>9.5</v>
      </c>
      <c r="M103" s="279">
        <f t="shared" si="9"/>
        <v>10</v>
      </c>
      <c r="N103" s="238">
        <f t="shared" si="9"/>
        <v>10.5</v>
      </c>
      <c r="O103" s="236">
        <f t="shared" si="9"/>
        <v>11</v>
      </c>
      <c r="P103" s="236">
        <f t="shared" si="9"/>
        <v>11.5</v>
      </c>
      <c r="Q103" s="236">
        <f>ROUND(Q102/$G$103,3)</f>
        <v>12</v>
      </c>
    </row>
    <row r="104" spans="1:17" outlineLevel="1">
      <c r="B104" s="6" t="s">
        <v>12</v>
      </c>
      <c r="I104" s="239">
        <f ca="1">$I$75</f>
        <v>2.9084586212886503</v>
      </c>
      <c r="J104" s="239">
        <f t="shared" ref="J104:Q104" ca="1" si="10">$I$75</f>
        <v>2.9084586212886503</v>
      </c>
      <c r="K104" s="239">
        <f t="shared" ca="1" si="10"/>
        <v>2.9084586212886503</v>
      </c>
      <c r="L104" s="240">
        <f t="shared" ca="1" si="10"/>
        <v>2.9084586212886503</v>
      </c>
      <c r="M104" s="280">
        <f t="shared" ca="1" si="10"/>
        <v>2.9084586212886503</v>
      </c>
      <c r="N104" s="241">
        <f t="shared" ca="1" si="10"/>
        <v>2.9084586212886503</v>
      </c>
      <c r="O104" s="239">
        <f t="shared" ca="1" si="10"/>
        <v>2.9084586212886503</v>
      </c>
      <c r="P104" s="239">
        <f t="shared" ca="1" si="10"/>
        <v>2.9084586212886503</v>
      </c>
      <c r="Q104" s="239">
        <f t="shared" ca="1" si="10"/>
        <v>2.9084586212886503</v>
      </c>
    </row>
    <row r="105" spans="1:17" outlineLevel="1">
      <c r="B105" s="6" t="s">
        <v>221</v>
      </c>
      <c r="I105" s="242">
        <f ca="1">SUM(I102,I104)</f>
        <v>110.90845862128864</v>
      </c>
      <c r="J105" s="242">
        <f t="shared" ref="J105:Q105" ca="1" si="11">SUM(J102,J104)</f>
        <v>117.65845862128864</v>
      </c>
      <c r="K105" s="242">
        <f t="shared" ca="1" si="11"/>
        <v>124.40845862128864</v>
      </c>
      <c r="L105" s="243">
        <f t="shared" ca="1" si="11"/>
        <v>131.15845862128864</v>
      </c>
      <c r="M105" s="281">
        <f t="shared" ca="1" si="11"/>
        <v>137.90845862128864</v>
      </c>
      <c r="N105" s="244">
        <f t="shared" ca="1" si="11"/>
        <v>144.65845862128864</v>
      </c>
      <c r="O105" s="242">
        <f t="shared" ca="1" si="11"/>
        <v>151.40845862128864</v>
      </c>
      <c r="P105" s="242">
        <f t="shared" ca="1" si="11"/>
        <v>158.15845862128864</v>
      </c>
      <c r="Q105" s="242">
        <f t="shared" ca="1" si="11"/>
        <v>164.90845862128864</v>
      </c>
    </row>
    <row r="106" spans="1:17" outlineLevel="1">
      <c r="I106" s="239"/>
      <c r="J106" s="239"/>
      <c r="K106" s="42"/>
      <c r="L106" s="245"/>
      <c r="M106" s="282"/>
      <c r="N106" s="246"/>
      <c r="O106" s="42"/>
      <c r="P106" s="42"/>
      <c r="Q106" s="42"/>
    </row>
    <row r="107" spans="1:17" outlineLevel="1">
      <c r="B107" s="96" t="s">
        <v>160</v>
      </c>
      <c r="C107" s="97"/>
      <c r="D107" s="97"/>
      <c r="E107" s="97"/>
      <c r="F107" s="97"/>
      <c r="G107" s="98"/>
      <c r="I107" s="239"/>
      <c r="J107" s="239"/>
      <c r="K107" s="42"/>
      <c r="L107" s="245"/>
      <c r="M107" s="282"/>
      <c r="N107" s="246"/>
      <c r="O107" s="42"/>
      <c r="P107" s="42"/>
      <c r="Q107" s="42"/>
    </row>
    <row r="108" spans="1:17" outlineLevel="1">
      <c r="B108" s="6" t="s">
        <v>161</v>
      </c>
      <c r="G108" s="49" t="s">
        <v>14</v>
      </c>
      <c r="I108" s="239"/>
      <c r="J108" s="239"/>
      <c r="K108" s="42"/>
      <c r="L108" s="245"/>
      <c r="M108" s="282"/>
      <c r="N108" s="246"/>
      <c r="O108" s="42"/>
      <c r="P108" s="42"/>
      <c r="Q108" s="42"/>
    </row>
    <row r="109" spans="1:17" outlineLevel="1">
      <c r="B109" s="6" t="s">
        <v>276</v>
      </c>
      <c r="G109" s="286">
        <f>+I26</f>
        <v>13.5</v>
      </c>
      <c r="I109" s="247">
        <f ca="1">IFERROR(I$105/$G109,"")</f>
        <v>8.215441379354715</v>
      </c>
      <c r="J109" s="247">
        <f t="shared" ref="J109:Q112" ca="1" si="12">IFERROR(J$105/$G109,"")</f>
        <v>8.715441379354715</v>
      </c>
      <c r="K109" s="247">
        <f t="shared" ca="1" si="12"/>
        <v>9.215441379354715</v>
      </c>
      <c r="L109" s="248">
        <f t="shared" ca="1" si="12"/>
        <v>9.715441379354715</v>
      </c>
      <c r="M109" s="283">
        <f t="shared" ca="1" si="12"/>
        <v>10.215441379354715</v>
      </c>
      <c r="N109" s="249">
        <f t="shared" ca="1" si="12"/>
        <v>10.715441379354715</v>
      </c>
      <c r="O109" s="247">
        <f t="shared" ca="1" si="12"/>
        <v>11.215441379354715</v>
      </c>
      <c r="P109" s="247">
        <f t="shared" ca="1" si="12"/>
        <v>11.715441379354715</v>
      </c>
      <c r="Q109" s="247">
        <f t="shared" ca="1" si="12"/>
        <v>12.215441379354715</v>
      </c>
    </row>
    <row r="110" spans="1:17" outlineLevel="1">
      <c r="B110" s="6" t="str">
        <f>L25&amp;" EBITDA ("&amp;TEXT(EDATE(I11,-12),"mmm yy")&amp;")"</f>
        <v>LFY EBITDA (Dec 25)</v>
      </c>
      <c r="G110" s="130">
        <f>+M25</f>
        <v>10.569617467</v>
      </c>
      <c r="I110" s="247">
        <f ca="1">IFERROR(I$105/$G110,"")</f>
        <v>10.493138372089833</v>
      </c>
      <c r="J110" s="247">
        <f t="shared" ref="J110:Q111" ca="1" si="13">IFERROR(J$105/$G110,"")</f>
        <v>11.131761294922617</v>
      </c>
      <c r="K110" s="247">
        <f t="shared" ca="1" si="13"/>
        <v>11.770384217755403</v>
      </c>
      <c r="L110" s="248">
        <f t="shared" ca="1" si="13"/>
        <v>12.409007140588189</v>
      </c>
      <c r="M110" s="283">
        <f t="shared" ca="1" si="13"/>
        <v>13.047630063420973</v>
      </c>
      <c r="N110" s="249">
        <f t="shared" ca="1" si="13"/>
        <v>13.686252986253759</v>
      </c>
      <c r="O110" s="247">
        <f t="shared" ca="1" si="13"/>
        <v>14.324875909086543</v>
      </c>
      <c r="P110" s="247">
        <f t="shared" ca="1" si="13"/>
        <v>14.963498831919329</v>
      </c>
      <c r="Q110" s="247">
        <f t="shared" ca="1" si="13"/>
        <v>15.602121754752114</v>
      </c>
    </row>
    <row r="111" spans="1:17" outlineLevel="1">
      <c r="B111" s="6" t="str">
        <f>L26&amp;" EBITDA @ acqn. ("&amp;TEXT(I28,"mmm yy")&amp;")"</f>
        <v>LTM EBITDA @ acqn. (Jun 26)</v>
      </c>
      <c r="G111" s="130">
        <f>+M26</f>
        <v>11.024051338862687</v>
      </c>
      <c r="I111" s="247">
        <f ca="1">IFERROR(I$105/$G111,"")</f>
        <v>10.060589815135121</v>
      </c>
      <c r="J111" s="247">
        <f t="shared" ca="1" si="13"/>
        <v>10.672887399073657</v>
      </c>
      <c r="K111" s="247">
        <f t="shared" ca="1" si="13"/>
        <v>11.285184983012192</v>
      </c>
      <c r="L111" s="248">
        <f t="shared" ca="1" si="13"/>
        <v>11.897482566950726</v>
      </c>
      <c r="M111" s="283">
        <f t="shared" ca="1" si="13"/>
        <v>12.509780150889263</v>
      </c>
      <c r="N111" s="249">
        <f t="shared" ca="1" si="13"/>
        <v>13.122077734827798</v>
      </c>
      <c r="O111" s="247">
        <f t="shared" ca="1" si="13"/>
        <v>13.734375318766334</v>
      </c>
      <c r="P111" s="247">
        <f t="shared" ca="1" si="13"/>
        <v>14.346672902704869</v>
      </c>
      <c r="Q111" s="247">
        <f t="shared" ca="1" si="13"/>
        <v>14.958970486643404</v>
      </c>
    </row>
    <row r="112" spans="1:17" outlineLevel="1">
      <c r="B112" s="6" t="str">
        <f>L27&amp;" EBITDA ("&amp;TEXT(I11,"mmm yy")&amp;")"</f>
        <v>NTM EBITDA (Dec 26)</v>
      </c>
      <c r="G112" s="130">
        <f>+M27</f>
        <v>11.478485210725372</v>
      </c>
      <c r="I112" s="247">
        <f t="shared" ref="I112" ca="1" si="14">IFERROR(I$105/$G112,"")</f>
        <v>9.6622905013334837</v>
      </c>
      <c r="J112" s="247">
        <f t="shared" ca="1" si="12"/>
        <v>10.250347189657905</v>
      </c>
      <c r="K112" s="247">
        <f t="shared" ca="1" si="12"/>
        <v>10.838403877982325</v>
      </c>
      <c r="L112" s="248">
        <f t="shared" ca="1" si="12"/>
        <v>11.426460566306746</v>
      </c>
      <c r="M112" s="283">
        <f t="shared" ca="1" si="12"/>
        <v>12.014517254631166</v>
      </c>
      <c r="N112" s="249">
        <f t="shared" ca="1" si="12"/>
        <v>12.602573942955587</v>
      </c>
      <c r="O112" s="247">
        <f t="shared" ca="1" si="12"/>
        <v>13.190630631280007</v>
      </c>
      <c r="P112" s="247">
        <f t="shared" ca="1" si="12"/>
        <v>13.778687319604428</v>
      </c>
      <c r="Q112" s="247">
        <f t="shared" ca="1" si="12"/>
        <v>14.366744007928848</v>
      </c>
    </row>
    <row r="113" spans="1:19" outlineLevel="1">
      <c r="I113" s="239"/>
      <c r="J113" s="239"/>
      <c r="K113" s="42"/>
      <c r="L113" s="245"/>
      <c r="M113" s="282"/>
      <c r="N113" s="246"/>
      <c r="O113" s="42"/>
      <c r="P113" s="42"/>
      <c r="Q113" s="42"/>
    </row>
    <row r="114" spans="1:19" outlineLevel="1">
      <c r="I114" s="239"/>
      <c r="J114" s="239"/>
      <c r="K114" s="42"/>
      <c r="L114" s="245"/>
      <c r="M114" s="282"/>
      <c r="N114" s="246"/>
      <c r="O114" s="42"/>
      <c r="P114" s="42"/>
      <c r="Q114" s="42"/>
    </row>
    <row r="115" spans="1:19" outlineLevel="1">
      <c r="B115" s="96" t="str">
        <f>"Sponsor IRR / MOIC for "&amp;I30&amp;" year hold period"</f>
        <v>Sponsor IRR / MOIC for 5 year hold period</v>
      </c>
      <c r="C115" s="97"/>
      <c r="D115" s="97"/>
      <c r="E115" s="97"/>
      <c r="F115" s="97"/>
      <c r="G115" s="98"/>
      <c r="I115" s="239"/>
      <c r="J115" s="239"/>
      <c r="K115" s="42"/>
      <c r="L115" s="245"/>
      <c r="M115" s="282"/>
      <c r="N115" s="246"/>
      <c r="O115" s="42"/>
      <c r="P115" s="42"/>
      <c r="Q115" s="42"/>
      <c r="S115" s="4" t="s">
        <v>275</v>
      </c>
    </row>
    <row r="116" spans="1:19" outlineLevel="1">
      <c r="B116" s="6" t="str">
        <f>"Exit at "&amp;TEXT($S116,"#,##0.0x")&amp;" LTM EBITDA"</f>
        <v>Exit at 9.0x LTM EBITDA</v>
      </c>
      <c r="I116" s="250" t="str">
        <f t="shared" ref="I116:Q120" si="15">TEXT(INDEX($Y$187:$AG$195,MATCH($S116,$X$187:$X$195,0),MATCH(I$103,$Y$186:$AG$186,0)),"0.0%")&amp;"/"&amp;TEXT(INDEX($Y$202:$AG$210,MATCH($S116,$X$202:$X$210,0),MATCH(I$103,$Y$201:$AG$201,0)),"0.0x")</f>
        <v>16.2%/2.1x</v>
      </c>
      <c r="J116" s="250" t="str">
        <f t="shared" si="15"/>
        <v>13.6%/1.9x</v>
      </c>
      <c r="K116" s="250" t="str">
        <f t="shared" si="15"/>
        <v>11.4%/1.7x</v>
      </c>
      <c r="L116" s="251" t="str">
        <f t="shared" si="15"/>
        <v>9.5%/1.6x</v>
      </c>
      <c r="M116" s="284" t="str">
        <f t="shared" si="15"/>
        <v>7.5%/1.4x</v>
      </c>
      <c r="N116" s="252" t="str">
        <f t="shared" si="15"/>
        <v>5.7%/1.3x</v>
      </c>
      <c r="O116" s="250" t="str">
        <f t="shared" si="15"/>
        <v>4.1%/1.2x</v>
      </c>
      <c r="P116" s="250" t="str">
        <f t="shared" si="15"/>
        <v>2.6%/1.1x</v>
      </c>
      <c r="Q116" s="250" t="str">
        <f t="shared" si="15"/>
        <v>1.3%/1.1x</v>
      </c>
      <c r="S116" s="319">
        <f>+S117-$J$27</f>
        <v>9</v>
      </c>
    </row>
    <row r="117" spans="1:19" outlineLevel="1">
      <c r="B117" s="6" t="str">
        <f t="shared" ref="B117:B120" si="16">"Exit at "&amp;TEXT($S117,"#,##0.0x")&amp;" LTM EBITDA"</f>
        <v>Exit at 9.5x LTM EBITDA</v>
      </c>
      <c r="I117" s="250" t="str">
        <f t="shared" si="15"/>
        <v>17.6%/2.2x</v>
      </c>
      <c r="J117" s="250" t="str">
        <f t="shared" si="15"/>
        <v>15.0%/2.0x</v>
      </c>
      <c r="K117" s="250" t="str">
        <f t="shared" si="15"/>
        <v>12.8%/1.8x</v>
      </c>
      <c r="L117" s="251" t="str">
        <f t="shared" si="15"/>
        <v>10.8%/1.7x</v>
      </c>
      <c r="M117" s="284" t="str">
        <f t="shared" si="15"/>
        <v>9.0%/1.5x</v>
      </c>
      <c r="N117" s="252" t="str">
        <f t="shared" si="15"/>
        <v>7.2%/1.4x</v>
      </c>
      <c r="O117" s="250" t="str">
        <f t="shared" si="15"/>
        <v>5.5%/1.3x</v>
      </c>
      <c r="P117" s="250" t="str">
        <f t="shared" si="15"/>
        <v>4.0%/1.2x</v>
      </c>
      <c r="Q117" s="250" t="str">
        <f t="shared" si="15"/>
        <v>2.7%/1.1x</v>
      </c>
      <c r="S117" s="319">
        <f>+S118-$J$27</f>
        <v>9.5</v>
      </c>
    </row>
    <row r="118" spans="1:19" outlineLevel="1">
      <c r="B118" s="6" t="str">
        <f t="shared" si="16"/>
        <v>Exit at 10.0x LTM EBITDA</v>
      </c>
      <c r="I118" s="277" t="str">
        <f t="shared" si="15"/>
        <v>19.0%/2.4x</v>
      </c>
      <c r="J118" s="277" t="str">
        <f t="shared" si="15"/>
        <v>16.3%/2.1x</v>
      </c>
      <c r="K118" s="250" t="str">
        <f t="shared" si="15"/>
        <v>14.1%/1.9x</v>
      </c>
      <c r="L118" s="251" t="str">
        <f t="shared" si="15"/>
        <v>12.1%/1.8x</v>
      </c>
      <c r="M118" s="284" t="str">
        <f t="shared" si="15"/>
        <v>10.3%/1.6x</v>
      </c>
      <c r="N118" s="252" t="str">
        <f t="shared" si="15"/>
        <v>8.6%/1.5x</v>
      </c>
      <c r="O118" s="277" t="str">
        <f t="shared" si="15"/>
        <v>6.9%/1.4x</v>
      </c>
      <c r="P118" s="277" t="str">
        <f t="shared" si="15"/>
        <v>5.4%/1.3x</v>
      </c>
      <c r="Q118" s="277" t="str">
        <f t="shared" si="15"/>
        <v>4.0%/1.2x</v>
      </c>
      <c r="S118" s="80">
        <v>10</v>
      </c>
    </row>
    <row r="119" spans="1:19" outlineLevel="1">
      <c r="B119" s="6" t="str">
        <f t="shared" si="16"/>
        <v>Exit at 10.5x LTM EBITDA</v>
      </c>
      <c r="I119" s="250" t="str">
        <f t="shared" si="15"/>
        <v>20.3%/2.5x</v>
      </c>
      <c r="J119" s="250" t="str">
        <f t="shared" si="15"/>
        <v>17.6%/2.2x</v>
      </c>
      <c r="K119" s="250" t="str">
        <f t="shared" si="15"/>
        <v>15.3%/2.0x</v>
      </c>
      <c r="L119" s="251" t="str">
        <f t="shared" si="15"/>
        <v>13.3%/1.9x</v>
      </c>
      <c r="M119" s="284" t="str">
        <f t="shared" si="15"/>
        <v>11.5%/1.7x</v>
      </c>
      <c r="N119" s="252" t="str">
        <f t="shared" si="15"/>
        <v>9.9%/1.6x</v>
      </c>
      <c r="O119" s="250" t="str">
        <f t="shared" si="15"/>
        <v>8.2%/1.5x</v>
      </c>
      <c r="P119" s="250" t="str">
        <f t="shared" si="15"/>
        <v>6.7%/1.4x</v>
      </c>
      <c r="Q119" s="250" t="str">
        <f t="shared" si="15"/>
        <v>5.3%/1.3x</v>
      </c>
      <c r="S119" s="319">
        <f>+S118+$J$27</f>
        <v>10.5</v>
      </c>
    </row>
    <row r="120" spans="1:19" ht="14.4" outlineLevel="1" thickBot="1">
      <c r="B120" s="6" t="str">
        <f t="shared" si="16"/>
        <v>Exit at 11.0x LTM EBITDA</v>
      </c>
      <c r="I120" s="250" t="str">
        <f t="shared" si="15"/>
        <v>21.5%/2.7x</v>
      </c>
      <c r="J120" s="250" t="str">
        <f t="shared" si="15"/>
        <v>18.8%/2.4x</v>
      </c>
      <c r="K120" s="250" t="str">
        <f t="shared" si="15"/>
        <v>16.4%/2.1x</v>
      </c>
      <c r="L120" s="251" t="str">
        <f t="shared" si="15"/>
        <v>14.4%/2.0x</v>
      </c>
      <c r="M120" s="318" t="str">
        <f t="shared" si="15"/>
        <v>12.6%/1.8x</v>
      </c>
      <c r="N120" s="252" t="str">
        <f t="shared" si="15"/>
        <v>11.0%/1.7x</v>
      </c>
      <c r="O120" s="250" t="str">
        <f t="shared" si="15"/>
        <v>9.5%/1.6x</v>
      </c>
      <c r="P120" s="250" t="str">
        <f t="shared" si="15"/>
        <v>7.9%/1.5x</v>
      </c>
      <c r="Q120" s="250" t="str">
        <f t="shared" si="15"/>
        <v>6.5%/1.4x</v>
      </c>
      <c r="S120" s="319">
        <f>+S119+$J$27</f>
        <v>11</v>
      </c>
    </row>
    <row r="121" spans="1:19">
      <c r="I121" s="10"/>
      <c r="J121" s="10"/>
      <c r="M121" s="76" t="b">
        <f ca="1">TEXT(M212,"0.0%")&amp;"/"&amp;TEXT(M213,"0.0x")=M118</f>
        <v>1</v>
      </c>
    </row>
    <row r="122" spans="1:19" s="35" customFormat="1">
      <c r="A122" s="2" t="s">
        <v>100</v>
      </c>
    </row>
    <row r="123" spans="1:19" outlineLevel="1">
      <c r="I123" s="10"/>
      <c r="J123" s="10"/>
    </row>
    <row r="124" spans="1:19" outlineLevel="1">
      <c r="B124" s="12" t="s">
        <v>100</v>
      </c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8"/>
    </row>
    <row r="125" spans="1:19" outlineLevel="1">
      <c r="G125" s="49" t="s">
        <v>224</v>
      </c>
      <c r="K125" s="10"/>
      <c r="L125" s="10"/>
      <c r="Q125" s="131">
        <f>I127</f>
        <v>45657</v>
      </c>
      <c r="R125" s="131">
        <f>L127</f>
        <v>46752</v>
      </c>
      <c r="S125" s="131">
        <f>P127</f>
        <v>48213</v>
      </c>
    </row>
    <row r="126" spans="1:19" outlineLevel="1">
      <c r="G126" s="69">
        <f>I28</f>
        <v>46203</v>
      </c>
      <c r="I126" s="3" t="str" cm="1">
        <f t="array" ref="I126:Q126">INDEX($I$6:$Q$6,MATCH(I127,$I$5:$Q$5),0)</f>
        <v>Actual</v>
      </c>
      <c r="J126" s="3" t="str">
        <v>Actual</v>
      </c>
      <c r="K126" s="29" t="str">
        <v>Outlook</v>
      </c>
      <c r="L126" s="29" t="str">
        <v>Forecast</v>
      </c>
      <c r="M126" s="3" t="str">
        <v>Forecast</v>
      </c>
      <c r="N126" s="3" t="str">
        <v>Forecast</v>
      </c>
      <c r="O126" s="3" t="str">
        <v>Forecast</v>
      </c>
      <c r="P126" s="3" t="str">
        <v>Forecast</v>
      </c>
      <c r="Q126" s="3" t="str">
        <v>Forecast</v>
      </c>
      <c r="R126" s="71" t="s">
        <v>17</v>
      </c>
      <c r="S126" s="71"/>
    </row>
    <row r="127" spans="1:19" outlineLevel="1">
      <c r="B127" s="1" t="str">
        <f>"Year end "&amp;TEXT(I11,"dd mmm")</f>
        <v>Year end 31 Dec</v>
      </c>
      <c r="G127" s="69">
        <f>+I11</f>
        <v>46387</v>
      </c>
      <c r="I127" s="69">
        <f t="shared" ref="I127" si="17">+I5</f>
        <v>45657</v>
      </c>
      <c r="J127" s="69">
        <f t="shared" ref="J127:Q127" si="18">+J5</f>
        <v>46022</v>
      </c>
      <c r="K127" s="69">
        <f t="shared" si="18"/>
        <v>46387</v>
      </c>
      <c r="L127" s="69">
        <f t="shared" si="18"/>
        <v>46752</v>
      </c>
      <c r="M127" s="69">
        <f t="shared" si="18"/>
        <v>47118</v>
      </c>
      <c r="N127" s="69">
        <f t="shared" si="18"/>
        <v>47483</v>
      </c>
      <c r="O127" s="69">
        <f t="shared" si="18"/>
        <v>47848</v>
      </c>
      <c r="P127" s="69">
        <f t="shared" si="18"/>
        <v>48213</v>
      </c>
      <c r="Q127" s="69">
        <f t="shared" si="18"/>
        <v>48579</v>
      </c>
      <c r="R127" s="72" t="str">
        <f>+TEXT(Q125,"'yy")&amp;" - "&amp;TEXT(R125,"'yy")</f>
        <v>'24 - '27</v>
      </c>
      <c r="S127" s="72" t="str">
        <f>+TEXT(R125,"'yy")&amp;" - "&amp;TEXT(S125,"'yy")</f>
        <v>'27 - '31</v>
      </c>
    </row>
    <row r="128" spans="1:19" s="5" customFormat="1" outlineLevel="2">
      <c r="A128" s="30"/>
      <c r="B128" s="5" t="s">
        <v>101</v>
      </c>
      <c r="G128" s="31">
        <f>+INDEX($I128:$Q128,MATCH($G$127,$I$127:$Q$127))*stub</f>
        <v>39.01431557412721</v>
      </c>
      <c r="I128" s="31">
        <f>OpModel_Link!H10</f>
        <v>50.812329939999998</v>
      </c>
      <c r="J128" s="31">
        <f>OpModel_Link!I10</f>
        <v>74.645973273999999</v>
      </c>
      <c r="K128" s="31">
        <f>OpModel_Link!J10</f>
        <v>78.028631148254419</v>
      </c>
      <c r="L128" s="31">
        <f>OpModel_Link!K10</f>
        <v>80.856855493297033</v>
      </c>
      <c r="M128" s="31">
        <f>OpModel_Link!L10</f>
        <v>83.713409746454033</v>
      </c>
      <c r="N128" s="31">
        <f>OpModel_Link!M10</f>
        <v>87.580613150587652</v>
      </c>
      <c r="O128" s="31">
        <f>OpModel_Link!N10</f>
        <v>90.5873292261887</v>
      </c>
      <c r="P128" s="31">
        <f>OpModel_Link!O10</f>
        <v>93.698867033989927</v>
      </c>
      <c r="Q128" s="31">
        <f>OpModel_Link!P10</f>
        <v>96.847283781928226</v>
      </c>
      <c r="R128" s="204">
        <f>(_xlfn.XLOOKUP(R$125, $I$127:$Q$127, $I128:$Q128) / _xlfn.XLOOKUP(Q$125, $I$127:$Q$127, $I128:$Q128)) ^ (1 / (YEAR(R$125) - YEAR(Q$125))) - 1</f>
        <v>0.16747945334862102</v>
      </c>
      <c r="S128" s="204">
        <f>IFERROR((_xlfn.XLOOKUP(S$125, $I$127:$Q$127, $I128:$Q128) / _xlfn.XLOOKUP(R$125, $I$127:$Q$127, $I128:$Q128)) ^ (1 / (YEAR(S$125) - YEAR(R$125))) - 1,"n/a")</f>
        <v>3.7538862907222414E-2</v>
      </c>
    </row>
    <row r="129" spans="1:19" s="4" customFormat="1" outlineLevel="2">
      <c r="A129" s="28"/>
      <c r="B129" s="70" t="s">
        <v>102</v>
      </c>
      <c r="G129" s="113"/>
      <c r="I129" s="113"/>
      <c r="J129" s="272">
        <f>IFERROR(J128/I128-1,"n/a")</f>
        <v>0.46905236115216797</v>
      </c>
      <c r="K129" s="272">
        <f t="shared" ref="K129:Q129" si="19">IFERROR(K128/J128-1,"n/a")</f>
        <v>4.5316012718299437E-2</v>
      </c>
      <c r="L129" s="272">
        <f t="shared" si="19"/>
        <v>3.6245981807228933E-2</v>
      </c>
      <c r="M129" s="272">
        <f t="shared" si="19"/>
        <v>3.5328535047888465E-2</v>
      </c>
      <c r="N129" s="272">
        <f t="shared" si="19"/>
        <v>4.6195745888817141E-2</v>
      </c>
      <c r="O129" s="272">
        <f t="shared" si="19"/>
        <v>3.4330840667114781E-2</v>
      </c>
      <c r="P129" s="272">
        <f t="shared" si="19"/>
        <v>3.4348488186819015E-2</v>
      </c>
      <c r="Q129" s="272">
        <f t="shared" si="19"/>
        <v>3.3601438817784102E-2</v>
      </c>
    </row>
    <row r="130" spans="1:19" outlineLevel="3">
      <c r="B130" s="6" t="s">
        <v>16</v>
      </c>
      <c r="G130" s="31">
        <f>+INDEX($I130:$Q130,MATCH($G$127,$I$127:$Q$127))*stub</f>
        <v>5.7392426053626862</v>
      </c>
      <c r="I130" s="31">
        <f>OpModel_Link!H21-OpModel_Link!H59</f>
        <v>9.7002841999999987</v>
      </c>
      <c r="J130" s="31">
        <f>OpModel_Link!I21-OpModel_Link!I59</f>
        <v>10.569617467</v>
      </c>
      <c r="K130" s="31">
        <f>OpModel_Link!J21-OpModel_Link!J59</f>
        <v>11.478485210725372</v>
      </c>
      <c r="L130" s="31">
        <f>OpModel_Link!K21-OpModel_Link!K59</f>
        <v>13.521248913202985</v>
      </c>
      <c r="M130" s="31">
        <f>OpModel_Link!L21-OpModel_Link!L59</f>
        <v>14.22989408805994</v>
      </c>
      <c r="N130" s="31">
        <f>OpModel_Link!M21-OpModel_Link!M59</f>
        <v>14.838002562284771</v>
      </c>
      <c r="O130" s="31">
        <f>OpModel_Link!N21-OpModel_Link!N59</f>
        <v>15.532952268538763</v>
      </c>
      <c r="P130" s="31">
        <f>OpModel_Link!O21-OpModel_Link!O59</f>
        <v>16.232013164173388</v>
      </c>
      <c r="Q130" s="31">
        <f>OpModel_Link!P21-OpModel_Link!P59</f>
        <v>16.936181596253466</v>
      </c>
      <c r="R130" s="4"/>
      <c r="S130" s="4"/>
    </row>
    <row r="131" spans="1:19" outlineLevel="3">
      <c r="B131" s="6" t="s">
        <v>18</v>
      </c>
      <c r="G131" s="31">
        <f>+INDEX($I131:$Q131,MATCH($G$127,$I$127:$Q$127))*stub</f>
        <v>0</v>
      </c>
      <c r="I131" s="31">
        <f>OpModel_Link!H59</f>
        <v>0</v>
      </c>
      <c r="J131" s="31">
        <f>OpModel_Link!I59</f>
        <v>0</v>
      </c>
      <c r="K131" s="31">
        <f>OpModel_Link!J59</f>
        <v>0</v>
      </c>
      <c r="L131" s="31">
        <f>OpModel_Link!K59</f>
        <v>0</v>
      </c>
      <c r="M131" s="31">
        <f>OpModel_Link!L59</f>
        <v>0</v>
      </c>
      <c r="N131" s="31">
        <f>OpModel_Link!M59</f>
        <v>0</v>
      </c>
      <c r="O131" s="31">
        <f>OpModel_Link!N59</f>
        <v>0</v>
      </c>
      <c r="P131" s="31">
        <f>OpModel_Link!O59</f>
        <v>0</v>
      </c>
      <c r="Q131" s="31">
        <f>OpModel_Link!P59</f>
        <v>0</v>
      </c>
      <c r="R131" s="4"/>
      <c r="S131" s="4"/>
    </row>
    <row r="132" spans="1:19" s="5" customFormat="1" outlineLevel="1">
      <c r="A132" s="30"/>
      <c r="B132" s="5" t="s">
        <v>14</v>
      </c>
      <c r="G132" s="33">
        <f>G130+G131</f>
        <v>5.7392426053626862</v>
      </c>
      <c r="I132" s="33">
        <f t="shared" ref="I132:Q132" si="20">I130+I131</f>
        <v>9.7002841999999987</v>
      </c>
      <c r="J132" s="33">
        <f t="shared" si="20"/>
        <v>10.569617467</v>
      </c>
      <c r="K132" s="33">
        <f t="shared" si="20"/>
        <v>11.478485210725372</v>
      </c>
      <c r="L132" s="33">
        <f t="shared" si="20"/>
        <v>13.521248913202985</v>
      </c>
      <c r="M132" s="33">
        <f t="shared" si="20"/>
        <v>14.22989408805994</v>
      </c>
      <c r="N132" s="33">
        <f t="shared" si="20"/>
        <v>14.838002562284771</v>
      </c>
      <c r="O132" s="33">
        <f t="shared" si="20"/>
        <v>15.532952268538763</v>
      </c>
      <c r="P132" s="33">
        <f t="shared" si="20"/>
        <v>16.232013164173388</v>
      </c>
      <c r="Q132" s="33">
        <f t="shared" si="20"/>
        <v>16.936181596253466</v>
      </c>
      <c r="R132" s="204">
        <f>(_xlfn.XLOOKUP(R$125, $I$127:$Q$127, $I132:$Q132) / _xlfn.XLOOKUP(Q$125, $I$127:$Q$127, $I132:$Q132)) ^ (1 / (YEAR(R$125) - YEAR(Q$125))) - 1</f>
        <v>0.1170624410305745</v>
      </c>
      <c r="S132" s="204">
        <f>(_xlfn.XLOOKUP(S$125, $I$127:$Q$127, $I132:$Q132) / _xlfn.XLOOKUP(R$125, $I$127:$Q$127, $I132:$Q132)) ^ (1 / (YEAR(S$125) - YEAR(R$125))) - 1</f>
        <v>4.6740178461651682E-2</v>
      </c>
    </row>
    <row r="133" spans="1:19" outlineLevel="1">
      <c r="B133" s="70" t="s">
        <v>103</v>
      </c>
      <c r="G133" s="272">
        <f>IFERROR(G132/G128,"n/a")</f>
        <v>0.14710606916730665</v>
      </c>
      <c r="I133" s="272">
        <f>IFERROR(I132/I128,"n/a")</f>
        <v>0.19090414101172387</v>
      </c>
      <c r="J133" s="272">
        <f t="shared" ref="J133:Q133" si="21">IFERROR(J132/J128,"n/a")</f>
        <v>0.14159661939435805</v>
      </c>
      <c r="K133" s="272">
        <f t="shared" si="21"/>
        <v>0.14710606916730665</v>
      </c>
      <c r="L133" s="272">
        <f t="shared" si="21"/>
        <v>0.16722452079927702</v>
      </c>
      <c r="M133" s="272">
        <f t="shared" si="21"/>
        <v>0.16998344866322562</v>
      </c>
      <c r="N133" s="272">
        <f t="shared" si="21"/>
        <v>0.16942108565479039</v>
      </c>
      <c r="O133" s="272">
        <f t="shared" si="21"/>
        <v>0.17146936995740683</v>
      </c>
      <c r="P133" s="272">
        <f t="shared" si="21"/>
        <v>0.1732359598145953</v>
      </c>
      <c r="Q133" s="272">
        <f t="shared" si="21"/>
        <v>0.1748751326303461</v>
      </c>
      <c r="R133" s="4"/>
      <c r="S133" s="4"/>
    </row>
    <row r="134" spans="1:19" outlineLevel="1">
      <c r="B134" s="6" t="s">
        <v>104</v>
      </c>
      <c r="G134" s="31">
        <f>+INDEX($I134:$Q134,MATCH($G$127,$I$127:$Q$127))*stub</f>
        <v>-0.73225000000000706</v>
      </c>
      <c r="I134" s="31">
        <f>OpModel_Link!H45</f>
        <v>-2.9124644700000104</v>
      </c>
      <c r="J134" s="31">
        <f>OpModel_Link!I45</f>
        <v>-3.2142376299999933</v>
      </c>
      <c r="K134" s="31">
        <f>OpModel_Link!J45</f>
        <v>-1.4645000000000141</v>
      </c>
      <c r="L134" s="31">
        <f>OpModel_Link!K45</f>
        <v>-2.0000000000000453</v>
      </c>
      <c r="M134" s="31">
        <f>OpModel_Link!L45</f>
        <v>-2.000000000000044</v>
      </c>
      <c r="N134" s="31">
        <f>OpModel_Link!M45</f>
        <v>-2.0000000000000435</v>
      </c>
      <c r="O134" s="31">
        <f>OpModel_Link!N45</f>
        <v>-2.0000000000000488</v>
      </c>
      <c r="P134" s="31">
        <f>OpModel_Link!O45</f>
        <v>-2.0000000000000453</v>
      </c>
      <c r="Q134" s="31">
        <f>OpModel_Link!P45</f>
        <v>-2.00000000000004</v>
      </c>
      <c r="R134" s="204">
        <f>(_xlfn.XLOOKUP(R$125, $I$127:$Q$127, $I134:$Q134) / _xlfn.XLOOKUP(Q$125, $I$127:$Q$127, $I134:$Q134)) ^ (1 / (YEAR(R$125) - YEAR(Q$125))) - 1</f>
        <v>-0.11775382008586488</v>
      </c>
      <c r="S134" s="204">
        <f>(_xlfn.XLOOKUP(S$125, $I$127:$Q$127, $I134:$Q134) / _xlfn.XLOOKUP(R$125, $I$127:$Q$127, $I134:$Q134)) ^ (1 / (YEAR(S$125) - YEAR(R$125))) - 1</f>
        <v>0</v>
      </c>
    </row>
    <row r="135" spans="1:19" s="5" customFormat="1" outlineLevel="1">
      <c r="A135" s="30"/>
      <c r="B135" s="5" t="s">
        <v>105</v>
      </c>
      <c r="G135" s="33">
        <f>G132+G134</f>
        <v>5.0069926053626794</v>
      </c>
      <c r="I135" s="33">
        <f t="shared" ref="I135:Q135" si="22">I132+I134</f>
        <v>6.7878197299999883</v>
      </c>
      <c r="J135" s="33">
        <f t="shared" si="22"/>
        <v>7.3553798370000072</v>
      </c>
      <c r="K135" s="33">
        <f t="shared" si="22"/>
        <v>10.013985210725359</v>
      </c>
      <c r="L135" s="33">
        <f t="shared" si="22"/>
        <v>11.521248913202939</v>
      </c>
      <c r="M135" s="33">
        <f t="shared" si="22"/>
        <v>12.229894088059895</v>
      </c>
      <c r="N135" s="33">
        <f t="shared" si="22"/>
        <v>12.838002562284728</v>
      </c>
      <c r="O135" s="33">
        <f t="shared" si="22"/>
        <v>13.532952268538715</v>
      </c>
      <c r="P135" s="33">
        <f t="shared" si="22"/>
        <v>14.232013164173342</v>
      </c>
      <c r="Q135" s="33">
        <f t="shared" si="22"/>
        <v>14.936181596253427</v>
      </c>
      <c r="R135" s="205">
        <f>IFERROR(((_xlfn.XLOOKUP(R$125, $I$127:$Q$127, $I135:$Q135) / _xlfn.XLOOKUP(Q$125, $I$127:$Q$127, $I135:$Q135)) ^ (1 / (YEAR(R$125) - YEAR(Q$125))) - 1),"n/a")</f>
        <v>0.19286076227508775</v>
      </c>
      <c r="S135" s="205">
        <f>IFERROR(((_xlfn.XLOOKUP(S$125, $I$127:$Q$127, $I135:$Q135) / _xlfn.XLOOKUP(R$125, $I$127:$Q$127, $I135:$Q135)) ^ (1 / (YEAR(S$125) - YEAR(R$125))) - 1),"n/a")</f>
        <v>5.4245350440686124E-2</v>
      </c>
    </row>
    <row r="136" spans="1:19" outlineLevel="1">
      <c r="I136" s="31"/>
      <c r="J136" s="31"/>
      <c r="K136" s="31"/>
      <c r="L136" s="31"/>
      <c r="M136" s="77"/>
      <c r="N136" s="77"/>
      <c r="O136" s="77"/>
      <c r="P136" s="77"/>
      <c r="Q136" s="77"/>
      <c r="R136" s="4"/>
      <c r="S136" s="4"/>
    </row>
    <row r="137" spans="1:19" outlineLevel="1">
      <c r="B137" s="6" t="s">
        <v>220</v>
      </c>
      <c r="F137" s="4"/>
      <c r="G137" s="10">
        <f ca="1">-G92</f>
        <v>-60.563908085910008</v>
      </c>
      <c r="I137" s="31" t="str">
        <f>IF(I127=I152,I178,"")</f>
        <v/>
      </c>
      <c r="J137" s="31" t="str">
        <f>IF(J127=J152,J178,"")</f>
        <v/>
      </c>
      <c r="K137" s="31"/>
      <c r="L137" s="31">
        <f t="shared" ref="L137:Q137" ca="1" si="23">INDEX($L$178:$Q$178,MATCH(L127,$L$152:$Q$152))</f>
        <v>-50.599227231321855</v>
      </c>
      <c r="M137" s="31">
        <f t="shared" ca="1" si="23"/>
        <v>-44.575495336888352</v>
      </c>
      <c r="N137" s="31">
        <f t="shared" ca="1" si="23"/>
        <v>-39.253207628766091</v>
      </c>
      <c r="O137" s="31">
        <f t="shared" ca="1" si="23"/>
        <v>-34.541689401584222</v>
      </c>
      <c r="P137" s="31">
        <f t="shared" ca="1" si="23"/>
        <v>-29.548218843602406</v>
      </c>
      <c r="Q137" s="31">
        <f t="shared" ca="1" si="23"/>
        <v>-29.548218843602406</v>
      </c>
      <c r="R137" s="4"/>
      <c r="S137" s="4"/>
    </row>
    <row r="138" spans="1:19" outlineLevel="1">
      <c r="B138" s="6" t="s">
        <v>20</v>
      </c>
      <c r="G138" s="31">
        <f ca="1">+L163</f>
        <v>6.3029686787360806</v>
      </c>
      <c r="I138" s="31"/>
      <c r="J138" s="31"/>
      <c r="K138" s="31"/>
      <c r="L138" s="31">
        <f ca="1">INDEX($L$163:$Q$163,MATCH(L127,$L$152:$Q$152))</f>
        <v>11.878750687361961</v>
      </c>
      <c r="M138" s="31">
        <f t="shared" ref="M138:P138" ca="1" si="24">INDEX($L$163:$Q$163,MATCH(M127,$L$152:$Q$152))</f>
        <v>11.468353040569406</v>
      </c>
      <c r="N138" s="31">
        <f t="shared" ca="1" si="24"/>
        <v>10.764468633461533</v>
      </c>
      <c r="O138" s="31">
        <f t="shared" ca="1" si="24"/>
        <v>10.227830385416777</v>
      </c>
      <c r="P138" s="31">
        <f t="shared" ca="1" si="24"/>
        <v>10.597452001366474</v>
      </c>
      <c r="Q138" s="31">
        <f t="shared" ref="Q138" ca="1" si="25">INDEX($L$163:$Q$163,MATCH(Q127,$L$152:$Q$152))</f>
        <v>10.597452001366474</v>
      </c>
      <c r="R138" s="4"/>
      <c r="S138" s="4"/>
    </row>
    <row r="139" spans="1:19" outlineLevel="1">
      <c r="B139" s="70" t="s">
        <v>223</v>
      </c>
      <c r="G139" s="287">
        <f ca="1">G138/I76/stub</f>
        <v>9.1408007046829609E-2</v>
      </c>
      <c r="I139" s="31"/>
      <c r="J139" s="31"/>
      <c r="K139" s="31"/>
      <c r="L139" s="253">
        <f ca="1">MAX(L138/$I$74,0)</f>
        <v>8.7990745832310827E-2</v>
      </c>
      <c r="M139" s="253">
        <f t="shared" ref="M139:Q139" ca="1" si="26">MAX(M138/$I$74,0)</f>
        <v>8.4950763263477086E-2</v>
      </c>
      <c r="N139" s="253">
        <f t="shared" ca="1" si="26"/>
        <v>7.973680469230765E-2</v>
      </c>
      <c r="O139" s="253">
        <f t="shared" ca="1" si="26"/>
        <v>7.5761706558642797E-2</v>
      </c>
      <c r="P139" s="253">
        <f t="shared" ca="1" si="26"/>
        <v>7.8499644454566475E-2</v>
      </c>
      <c r="Q139" s="253">
        <f t="shared" ca="1" si="26"/>
        <v>7.8499644454566475E-2</v>
      </c>
      <c r="R139" s="4"/>
      <c r="S139" s="4"/>
    </row>
    <row r="140" spans="1:19" outlineLevel="1">
      <c r="B140" s="6" t="s">
        <v>21</v>
      </c>
      <c r="G140" s="31">
        <f ca="1">+L162</f>
        <v>3.5588851283616258</v>
      </c>
      <c r="I140" s="31"/>
      <c r="J140" s="31"/>
      <c r="K140" s="31"/>
      <c r="L140" s="31">
        <f ca="1">INDEX($L$163:$Q$163,MATCH(L127,$L$152:$Q$152))</f>
        <v>11.878750687361961</v>
      </c>
      <c r="M140" s="31">
        <f ca="1">N162</f>
        <v>6.0237318944335003</v>
      </c>
      <c r="N140" s="31">
        <f ca="1">O162</f>
        <v>5.3222877081222562</v>
      </c>
      <c r="O140" s="31">
        <f ca="1">P162</f>
        <v>4.7115182271818767</v>
      </c>
      <c r="P140" s="31">
        <f ca="1">Q162</f>
        <v>4.9934705579818157</v>
      </c>
      <c r="Q140" s="31">
        <f ca="1">R162</f>
        <v>2.4967352789909079</v>
      </c>
      <c r="R140" s="4"/>
      <c r="S140" s="4"/>
    </row>
    <row r="141" spans="1:19" s="4" customFormat="1" outlineLevel="1">
      <c r="A141" s="28"/>
      <c r="B141" s="70" t="s">
        <v>215</v>
      </c>
      <c r="G141" s="75">
        <f ca="1">+L164</f>
        <v>3.5588851283616258</v>
      </c>
      <c r="I141" s="75"/>
      <c r="J141" s="75"/>
      <c r="K141" s="75"/>
      <c r="L141" s="31">
        <f ca="1">INDEX($L$164:$Q$164,MATCH(L127,$L$152:$Q$152))</f>
        <v>9.964680854588158</v>
      </c>
      <c r="M141" s="31">
        <f t="shared" ref="M141:P141" ca="1" si="27">INDEX($L$164:$Q$164,MATCH(M127,$L$152:$Q$152))</f>
        <v>15.988412749021659</v>
      </c>
      <c r="N141" s="31">
        <f t="shared" ca="1" si="27"/>
        <v>21.310700457143916</v>
      </c>
      <c r="O141" s="31">
        <f t="shared" ca="1" si="27"/>
        <v>26.022218684325793</v>
      </c>
      <c r="P141" s="31">
        <f t="shared" ca="1" si="27"/>
        <v>31.015689242307609</v>
      </c>
      <c r="Q141" s="31">
        <f t="shared" ref="Q141" ca="1" si="28">INDEX($L$164:$Q$164,MATCH(Q127,$L$152:$Q$152))</f>
        <v>31.015689242307609</v>
      </c>
    </row>
    <row r="142" spans="1:19" s="4" customFormat="1" outlineLevel="1">
      <c r="A142" s="28"/>
      <c r="B142" s="70" t="s">
        <v>107</v>
      </c>
      <c r="G142" s="287">
        <f ca="1">+G140/$G$95/stub</f>
        <v>9.2026784142568263E-2</v>
      </c>
      <c r="I142" s="75"/>
      <c r="J142" s="75"/>
      <c r="K142" s="75"/>
      <c r="L142" s="253">
        <f t="shared" ref="L142:Q143" ca="1" si="29">MAX(+L140/$G$95,0)</f>
        <v>0.15358225763983763</v>
      </c>
      <c r="M142" s="253">
        <f t="shared" ca="1" si="29"/>
        <v>7.7881788086390777E-2</v>
      </c>
      <c r="N142" s="253">
        <f t="shared" ca="1" si="29"/>
        <v>6.8812704596269605E-2</v>
      </c>
      <c r="O142" s="253">
        <f t="shared" ca="1" si="29"/>
        <v>6.0915968798949234E-2</v>
      </c>
      <c r="P142" s="253">
        <f t="shared" ca="1" si="29"/>
        <v>6.4561375344701535E-2</v>
      </c>
      <c r="Q142" s="253">
        <f t="shared" ca="1" si="29"/>
        <v>3.2280687672350768E-2</v>
      </c>
    </row>
    <row r="143" spans="1:19" outlineLevel="1">
      <c r="B143" s="70" t="s">
        <v>108</v>
      </c>
      <c r="G143" s="287">
        <f ca="1">+G141/$G$95/stub</f>
        <v>9.2026784142568263E-2</v>
      </c>
      <c r="I143" s="31"/>
      <c r="J143" s="31"/>
      <c r="K143" s="31"/>
      <c r="L143" s="253">
        <f t="shared" ca="1" si="29"/>
        <v>0.12883494422829639</v>
      </c>
      <c r="M143" s="253">
        <f t="shared" ca="1" si="29"/>
        <v>0.20671673231468718</v>
      </c>
      <c r="N143" s="253">
        <f t="shared" ca="1" si="29"/>
        <v>0.27552943691095683</v>
      </c>
      <c r="O143" s="253">
        <f t="shared" ca="1" si="29"/>
        <v>0.33644540570990605</v>
      </c>
      <c r="P143" s="253">
        <f t="shared" ca="1" si="29"/>
        <v>0.40100678105460758</v>
      </c>
      <c r="Q143" s="253">
        <f t="shared" ca="1" si="29"/>
        <v>0.40100678105460758</v>
      </c>
      <c r="R143" s="4"/>
      <c r="S143" s="4"/>
    </row>
    <row r="144" spans="1:19" outlineLevel="1">
      <c r="G144" s="31"/>
      <c r="H144" s="31"/>
      <c r="I144" s="31"/>
      <c r="J144" s="31"/>
      <c r="K144" s="31"/>
      <c r="L144" s="31"/>
      <c r="M144" s="31"/>
      <c r="N144" s="31"/>
      <c r="O144" s="31"/>
      <c r="P144" s="4"/>
      <c r="Q144" s="4"/>
    </row>
    <row r="145" spans="1:19" outlineLevel="1">
      <c r="B145" s="6" t="s">
        <v>109</v>
      </c>
      <c r="G145" s="118">
        <f ca="1">G92/I39</f>
        <v>5.73</v>
      </c>
      <c r="H145" s="31"/>
      <c r="I145" s="31"/>
      <c r="J145" s="31"/>
      <c r="K145" s="31"/>
      <c r="L145" s="118">
        <f t="shared" ref="L145:Q145" ca="1" si="30">IF(-L137/L132&lt;0,"n/a",-L137/L132)</f>
        <v>3.7422007061724627</v>
      </c>
      <c r="M145" s="118">
        <f t="shared" ca="1" si="30"/>
        <v>3.1325247441083124</v>
      </c>
      <c r="N145" s="118">
        <f t="shared" ca="1" si="30"/>
        <v>2.6454509266995192</v>
      </c>
      <c r="O145" s="118">
        <f t="shared" ca="1" si="30"/>
        <v>2.2237684636131103</v>
      </c>
      <c r="P145" s="118">
        <f t="shared" ca="1" si="30"/>
        <v>1.8203668605210341</v>
      </c>
      <c r="Q145" s="118">
        <f t="shared" ca="1" si="30"/>
        <v>1.7446800907082214</v>
      </c>
    </row>
    <row r="146" spans="1:19" outlineLevel="1">
      <c r="B146" s="6" t="s">
        <v>225</v>
      </c>
      <c r="G146" s="118">
        <f ca="1">IF(G137&lt;0,+($G$95-G137)/I26,"n/a")</f>
        <v>10.215441379354715</v>
      </c>
      <c r="H146" s="31"/>
      <c r="I146" s="31"/>
      <c r="J146" s="31"/>
      <c r="K146" s="31"/>
      <c r="L146" s="118">
        <f t="shared" ref="L146:Q146" ca="1" si="31">IF(L137&lt;0,+($G$95-L137)/L132,"n/a")</f>
        <v>9.4624230785196382</v>
      </c>
      <c r="M146" s="118">
        <f t="shared" ca="1" si="31"/>
        <v>8.567881469656756</v>
      </c>
      <c r="N146" s="118">
        <f t="shared" ca="1" si="31"/>
        <v>7.8580494695770478</v>
      </c>
      <c r="O146" s="118">
        <f t="shared" ca="1" si="31"/>
        <v>7.2031535282306232</v>
      </c>
      <c r="P146" s="118">
        <f t="shared" ca="1" si="31"/>
        <v>6.5853057348986273</v>
      </c>
      <c r="Q146" s="118">
        <f t="shared" ca="1" si="31"/>
        <v>6.3115034974959938</v>
      </c>
    </row>
    <row r="147" spans="1:19" outlineLevel="1">
      <c r="G147" s="31"/>
      <c r="H147" s="31"/>
      <c r="I147" s="31"/>
      <c r="J147" s="31"/>
      <c r="K147" s="31"/>
      <c r="L147" s="31"/>
      <c r="M147" s="31"/>
      <c r="N147" s="31"/>
      <c r="O147" s="31"/>
      <c r="P147" s="4"/>
      <c r="Q147" s="4"/>
    </row>
    <row r="148" spans="1:19" outlineLevel="1">
      <c r="G148" s="31"/>
      <c r="H148" s="31"/>
      <c r="I148" s="31"/>
      <c r="J148" s="31"/>
      <c r="K148" s="31"/>
      <c r="L148" s="31"/>
      <c r="M148" s="31"/>
      <c r="N148" s="31"/>
      <c r="O148" s="31"/>
      <c r="P148" s="4"/>
      <c r="Q148" s="4"/>
    </row>
    <row r="149" spans="1:19" outlineLevel="1">
      <c r="B149" s="12" t="s">
        <v>110</v>
      </c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195" t="s">
        <v>246</v>
      </c>
      <c r="S149" s="196" t="s">
        <v>247</v>
      </c>
    </row>
    <row r="150" spans="1:19" outlineLevel="1">
      <c r="B150" s="62"/>
      <c r="C150" s="63"/>
      <c r="D150" s="63"/>
      <c r="E150" s="63"/>
      <c r="F150" s="63"/>
      <c r="G150" s="63"/>
      <c r="H150" s="63"/>
      <c r="I150" s="76" t="str">
        <f>IF(I152&lt;&gt;"",I127=I152,"")</f>
        <v/>
      </c>
      <c r="J150" s="76" t="str">
        <f>IF(J152&lt;&gt;"",J127=J152,"")</f>
        <v/>
      </c>
      <c r="L150" s="76"/>
      <c r="M150" s="76"/>
      <c r="N150" s="76"/>
      <c r="O150" s="76"/>
      <c r="P150" s="76"/>
      <c r="Q150" s="76"/>
      <c r="R150" s="197" t="s">
        <v>136</v>
      </c>
      <c r="S150" s="198" t="s">
        <v>137</v>
      </c>
    </row>
    <row r="151" spans="1:19" outlineLevel="1">
      <c r="G151" s="31"/>
      <c r="H151" s="31"/>
      <c r="I151" s="69" t="str">
        <f>IF($G$127=I127,$G$126,"")</f>
        <v/>
      </c>
      <c r="J151" s="69" t="str">
        <f>IF($G$127=J127,$G$126,"")</f>
        <v/>
      </c>
      <c r="L151" s="69">
        <f>+G126</f>
        <v>46203</v>
      </c>
      <c r="M151" s="69" t="str">
        <f>IF($G$127=M127,$G$126,"")</f>
        <v/>
      </c>
      <c r="N151" s="69" t="str">
        <f t="shared" ref="N151:Q151" si="32">IF($G$127=N127,$G$126,"")</f>
        <v/>
      </c>
      <c r="O151" s="69" t="str">
        <f t="shared" si="32"/>
        <v/>
      </c>
      <c r="P151" s="69" t="str">
        <f t="shared" si="32"/>
        <v/>
      </c>
      <c r="Q151" s="69" t="str">
        <f t="shared" si="32"/>
        <v/>
      </c>
      <c r="R151" s="199">
        <f>EDATE(I11,(I30-1)*12)</f>
        <v>47848</v>
      </c>
      <c r="S151" s="200">
        <f>EDATE(S152,-12)</f>
        <v>47664</v>
      </c>
    </row>
    <row r="152" spans="1:19" outlineLevel="1">
      <c r="B152" s="5" t="s">
        <v>116</v>
      </c>
      <c r="G152" s="31"/>
      <c r="H152" s="31"/>
      <c r="I152" s="69" t="str">
        <f>IF(I127&gt;=$G$127,I127,"")</f>
        <v/>
      </c>
      <c r="J152" s="69" t="str">
        <f>IF(J127&gt;=$G$127,J127,"")</f>
        <v/>
      </c>
      <c r="L152" s="69">
        <f>+G127</f>
        <v>46387</v>
      </c>
      <c r="M152" s="69">
        <f>EOMONTH(L152,12)</f>
        <v>46752</v>
      </c>
      <c r="N152" s="69">
        <f>EOMONTH(M152,12)</f>
        <v>47118</v>
      </c>
      <c r="O152" s="69">
        <f>EOMONTH(N152,12)</f>
        <v>47483</v>
      </c>
      <c r="P152" s="69">
        <f>EOMONTH(O152,12)</f>
        <v>47848</v>
      </c>
      <c r="Q152" s="69">
        <f>EOMONTH(P152,12)</f>
        <v>48213</v>
      </c>
      <c r="R152" s="199">
        <f>I31</f>
        <v>48029</v>
      </c>
      <c r="S152" s="200">
        <f>I31</f>
        <v>48029</v>
      </c>
    </row>
    <row r="153" spans="1:19" outlineLevel="1">
      <c r="C153" s="6" t="s">
        <v>14</v>
      </c>
      <c r="G153" s="31"/>
      <c r="H153" s="31"/>
      <c r="I153" s="31"/>
      <c r="J153" s="31"/>
      <c r="L153" s="31">
        <f t="shared" ref="L153:Q153" si="33">INDEX($G$130:$Q$130,MATCH(L$152,$G$127:$Q$127,0))</f>
        <v>5.7392426053626862</v>
      </c>
      <c r="M153" s="31">
        <f t="shared" si="33"/>
        <v>13.521248913202985</v>
      </c>
      <c r="N153" s="31">
        <f t="shared" si="33"/>
        <v>14.22989408805994</v>
      </c>
      <c r="O153" s="31">
        <f t="shared" si="33"/>
        <v>14.838002562284771</v>
      </c>
      <c r="P153" s="31">
        <f t="shared" si="33"/>
        <v>15.532952268538763</v>
      </c>
      <c r="Q153" s="31">
        <f t="shared" si="33"/>
        <v>16.232013164173388</v>
      </c>
      <c r="R153" s="201">
        <f>(1-stub)*INDEX($M153:$Q153,MATCH(EDATE($R$151,12),$M$152:$Q$152,0))</f>
        <v>8.116006582086694</v>
      </c>
      <c r="S153" s="75">
        <f>stub*INDEX($M153:$Q153,MATCH($R$151,$M$152:$Q$152,0))+R153</f>
        <v>15.882482716356076</v>
      </c>
    </row>
    <row r="154" spans="1:19" outlineLevel="2">
      <c r="C154" s="6" t="s">
        <v>112</v>
      </c>
      <c r="G154" s="31"/>
      <c r="H154" s="31"/>
      <c r="I154" s="31"/>
      <c r="J154" s="31"/>
      <c r="L154" s="31">
        <f t="shared" ref="L154:Q154" si="34">INDEX($G$131:$Q$131,MATCH(L$152,$G$127:$Q$127,0))</f>
        <v>0</v>
      </c>
      <c r="M154" s="31">
        <f t="shared" si="34"/>
        <v>0</v>
      </c>
      <c r="N154" s="31">
        <f t="shared" si="34"/>
        <v>0</v>
      </c>
      <c r="O154" s="31">
        <f t="shared" si="34"/>
        <v>0</v>
      </c>
      <c r="P154" s="31">
        <f t="shared" si="34"/>
        <v>0</v>
      </c>
      <c r="Q154" s="31">
        <f t="shared" si="34"/>
        <v>0</v>
      </c>
      <c r="R154" s="201">
        <f>(1-stub)*INDEX($M154:$Q154,MATCH(EDATE($R$151,12),$M$152:$Q$152,0))</f>
        <v>0</v>
      </c>
      <c r="S154" s="75">
        <f>stub*INDEX($M154:$Q154,MATCH($R$151,$M$152:$Q$152,0))+R154</f>
        <v>0</v>
      </c>
    </row>
    <row r="155" spans="1:19" outlineLevel="1">
      <c r="C155" s="6" t="s">
        <v>204</v>
      </c>
      <c r="G155" s="31"/>
      <c r="H155" s="31"/>
      <c r="I155" s="31"/>
      <c r="J155" s="31"/>
      <c r="L155" s="31">
        <f t="shared" ref="L155:Q155" ca="1" si="35">-IFERROR(SUM(K255,K265,K274,-K246),0)</f>
        <v>-2.7440835503744543</v>
      </c>
      <c r="M155" s="31">
        <f t="shared" ca="1" si="35"/>
        <v>-5.4729549611354305</v>
      </c>
      <c r="N155" s="31">
        <f t="shared" ca="1" si="35"/>
        <v>-5.4446211461359058</v>
      </c>
      <c r="O155" s="31">
        <f t="shared" ca="1" si="35"/>
        <v>-5.4421809253392768</v>
      </c>
      <c r="P155" s="31">
        <f t="shared" ca="1" si="35"/>
        <v>-5.5163121582348991</v>
      </c>
      <c r="Q155" s="31">
        <f t="shared" ca="1" si="35"/>
        <v>-5.603981443384658</v>
      </c>
      <c r="R155" s="201">
        <f ca="1">(1-stub)*INDEX($M155:$Q155,MATCH(EDATE($R$151,12),$M$152:$Q$152,0))</f>
        <v>-2.801990721692329</v>
      </c>
      <c r="S155" s="75">
        <f ca="1">stub*INDEX($M155:$Q155,MATCH($R$151,$M$152:$Q$152,0))+R155</f>
        <v>-5.560146800809779</v>
      </c>
    </row>
    <row r="156" spans="1:19" outlineLevel="1">
      <c r="C156" s="6" t="s">
        <v>111</v>
      </c>
      <c r="G156" s="31"/>
      <c r="H156" s="31"/>
      <c r="I156" s="31"/>
      <c r="J156" s="31"/>
      <c r="L156" s="31">
        <f t="shared" ref="L156:Q156" ca="1" si="36">+IFERROR(K290,0)</f>
        <v>-0.47618181224412992</v>
      </c>
      <c r="M156" s="31">
        <f t="shared" ca="1" si="36"/>
        <v>-1.8843072959537637</v>
      </c>
      <c r="N156" s="31">
        <f t="shared" ca="1" si="36"/>
        <v>-1.5049388714010019</v>
      </c>
      <c r="O156" s="31">
        <f t="shared" ca="1" si="36"/>
        <v>-1.5681316614807184</v>
      </c>
      <c r="P156" s="31">
        <f t="shared" ca="1" si="36"/>
        <v>-1.6572320651772305</v>
      </c>
      <c r="Q156" s="31">
        <f t="shared" ca="1" si="36"/>
        <v>-1.7821813839139449</v>
      </c>
      <c r="R156" s="201">
        <f ca="1">(1-stub)*INDEX($M156:$Q156,MATCH(EDATE($R$151,12),$M$152:$Q$152,0))</f>
        <v>-0.89109069195697244</v>
      </c>
      <c r="S156" s="75">
        <f ca="1">stub*INDEX($M156:$Q156,MATCH($R$151,$M$152:$Q$152,0))+R156</f>
        <v>-1.7197067245455877</v>
      </c>
    </row>
    <row r="157" spans="1:19" outlineLevel="1">
      <c r="C157" s="6" t="s">
        <v>30</v>
      </c>
      <c r="G157" s="31"/>
      <c r="H157" s="31"/>
      <c r="I157" s="31"/>
      <c r="J157" s="31"/>
      <c r="L157" s="31">
        <f>+stub*INDEX(OpModel_Link!$H$52:$Q$52,MATCH(L$152,OpModel_Link!$H$3:$Q$3,0))</f>
        <v>1.5471578856175234</v>
      </c>
      <c r="M157" s="31">
        <f ca="1">+INDEX(OpModel_Link!$H$52:$Q$52,MATCH(M$152,OpModel_Link!$H$3:$Q$3,0))</f>
        <v>1.2418090701127416</v>
      </c>
      <c r="N157" s="31">
        <f ca="1">+INDEX(OpModel_Link!$H$52:$Q$52,MATCH(N$152,OpModel_Link!$H$3:$Q$3,0))</f>
        <v>-0.25660217608953362</v>
      </c>
      <c r="O157" s="31">
        <f ca="1">+INDEX(OpModel_Link!$H$52:$Q$52,MATCH(O$152,OpModel_Link!$H$3:$Q$3,0))</f>
        <v>-1.5054022673425218</v>
      </c>
      <c r="P157" s="31">
        <f ca="1">+INDEX(OpModel_Link!$H$52:$Q$52,MATCH(P$152,OpModel_Link!$H$3:$Q$3,0))</f>
        <v>-2.647889817944753</v>
      </c>
      <c r="Q157" s="31">
        <f ca="1">+INDEX(OpModel_Link!$H$52:$Q$52,MATCH(Q$152,OpModel_Link!$H$3:$Q$3,0))</f>
        <v>-2.8523797788929679</v>
      </c>
      <c r="R157" s="201">
        <f ca="1">(1-stub)*INDEX($M157:$Q157,MATCH(EDATE($R$151,12),$M$152:$Q$152,0))</f>
        <v>-1.4261898894464839</v>
      </c>
      <c r="S157" s="75">
        <f ca="1">stub*INDEX($M157:$Q157,MATCH($R$151,$M$152:$Q$152,0))+R157</f>
        <v>-2.7501347984188604</v>
      </c>
    </row>
    <row r="158" spans="1:19" s="5" customFormat="1" outlineLevel="1">
      <c r="A158" s="30"/>
      <c r="B158" s="5" t="s">
        <v>113</v>
      </c>
      <c r="G158" s="105"/>
      <c r="I158" s="105"/>
      <c r="J158" s="105"/>
      <c r="L158" s="33">
        <f t="shared" ref="L158:Q158" ca="1" si="37">SUM(L153:L157)</f>
        <v>4.0661351283616254</v>
      </c>
      <c r="M158" s="33">
        <f t="shared" ca="1" si="37"/>
        <v>7.4057957262265326</v>
      </c>
      <c r="N158" s="33">
        <f t="shared" ca="1" si="37"/>
        <v>7.0237318944334994</v>
      </c>
      <c r="O158" s="33">
        <f t="shared" ca="1" si="37"/>
        <v>6.3222877081222553</v>
      </c>
      <c r="P158" s="33">
        <f t="shared" ca="1" si="37"/>
        <v>5.7115182271818803</v>
      </c>
      <c r="Q158" s="33">
        <f t="shared" ca="1" si="37"/>
        <v>5.9934705579818166</v>
      </c>
      <c r="R158" s="202">
        <f t="shared" ref="R158" ca="1" si="38">SUM(R153:R157)</f>
        <v>2.9967352789909083</v>
      </c>
      <c r="S158" s="203">
        <f t="shared" ref="S158" ca="1" si="39">SUM(S153:S157)</f>
        <v>5.852494392581848</v>
      </c>
    </row>
    <row r="159" spans="1:19" outlineLevel="1">
      <c r="C159" s="6" t="s">
        <v>34</v>
      </c>
      <c r="G159" s="31"/>
      <c r="H159" s="31"/>
      <c r="I159" s="31"/>
      <c r="J159" s="31"/>
      <c r="L159" s="31">
        <f>+stub*INDEX(OpModel_Link!$H$40:$Q$40,MATCH(L$152,OpModel_Link!$H$3:$Q$3,0))</f>
        <v>-0.50724999999999965</v>
      </c>
      <c r="M159" s="31">
        <f>INDEX(OpModel_Link!$H$40:$Q$40,MATCH(M$152,OpModel_Link!$H$3:$Q$3,0))</f>
        <v>-1.0000000000000007</v>
      </c>
      <c r="N159" s="31">
        <f>INDEX(OpModel_Link!$H$40:$Q$40,MATCH(N$152,OpModel_Link!$H$3:$Q$3,0))</f>
        <v>-0.99999999999999922</v>
      </c>
      <c r="O159" s="31">
        <f>INDEX(OpModel_Link!$H$40:$Q$40,MATCH(O$152,OpModel_Link!$H$3:$Q$3,0))</f>
        <v>-0.99999999999999911</v>
      </c>
      <c r="P159" s="31">
        <f>INDEX(OpModel_Link!$H$40:$Q$40,MATCH(P$152,OpModel_Link!$H$3:$Q$3,0))</f>
        <v>-1.000000000000004</v>
      </c>
      <c r="Q159" s="31">
        <f>INDEX(OpModel_Link!$H$40:$Q$40,MATCH(Q$152,OpModel_Link!$H$3:$Q$3,0))</f>
        <v>-1.0000000000000009</v>
      </c>
      <c r="R159" s="201">
        <f>(1-stub)*INDEX($M159:$Q159,MATCH(EDATE($R$151,12),$M$152:$Q$152,0))</f>
        <v>-0.50000000000000044</v>
      </c>
      <c r="S159" s="75">
        <f>stub*INDEX($M159:$Q159,MATCH($R$151,$M$152:$Q$152,0))+R159</f>
        <v>-1.0000000000000024</v>
      </c>
    </row>
    <row r="160" spans="1:19" outlineLevel="1">
      <c r="C160" s="6" t="s">
        <v>114</v>
      </c>
      <c r="G160" s="31"/>
      <c r="H160" s="31"/>
      <c r="I160" s="31"/>
      <c r="J160" s="31"/>
      <c r="L160" s="31">
        <f>+stub*INDEX(OpModel_Link!$H$43:$Q$43,MATCH(L$152,OpModel_Link!$H$3:$Q$3,0))</f>
        <v>0</v>
      </c>
      <c r="M160" s="31">
        <f>+INDEX(OpModel_Link!$H$43:$Q$43,MATCH(M$152,OpModel_Link!$H$3:$Q$3,0))</f>
        <v>0</v>
      </c>
      <c r="N160" s="31">
        <f>INDEX(OpModel_Link!$H$43:$Q$43,MATCH(N$152,OpModel_Link!$H$3:$Q$3,0))</f>
        <v>0</v>
      </c>
      <c r="O160" s="31">
        <f>INDEX(OpModel_Link!$H$43:$Q$43,MATCH(O$152,OpModel_Link!$H$3:$Q$3,0))</f>
        <v>0</v>
      </c>
      <c r="P160" s="31">
        <f>INDEX(OpModel_Link!$H$43:$Q$43,MATCH(P$152,OpModel_Link!$H$3:$Q$3,0))</f>
        <v>0</v>
      </c>
      <c r="Q160" s="31">
        <f>INDEX(OpModel_Link!$H$43:$Q$43,MATCH(Q$152,OpModel_Link!$H$3:$Q$3,0))</f>
        <v>0</v>
      </c>
      <c r="R160" s="201">
        <f>(1-stub)*INDEX($M160:$Q160,MATCH(EDATE($R$151,12),$M$152:$Q$152,0))</f>
        <v>0</v>
      </c>
      <c r="S160" s="75">
        <f>stub*INDEX($M160:$Q160,MATCH($R$151,$M$152:$Q$152,0))+R160</f>
        <v>0</v>
      </c>
    </row>
    <row r="161" spans="1:19" outlineLevel="1">
      <c r="C161" s="6" t="s">
        <v>115</v>
      </c>
      <c r="G161" s="31"/>
      <c r="H161" s="31"/>
      <c r="I161" s="31"/>
      <c r="J161" s="31"/>
      <c r="L161" s="31">
        <f>+stub*INDEX(OpModel_Link!$H$62:$Q$62,MATCH(L$152,OpModel_Link!$H$3:$Q$3,0))</f>
        <v>0</v>
      </c>
      <c r="M161" s="31">
        <f>+INDEX(OpModel_Link!$H$62:$Q$62,MATCH(M$152,OpModel_Link!$H$3:$Q$3,0))</f>
        <v>0</v>
      </c>
      <c r="N161" s="31">
        <f>INDEX(OpModel_Link!$H$62:$Q$62,MATCH(N$152,OpModel_Link!$H$3:$Q$3,0))</f>
        <v>0</v>
      </c>
      <c r="O161" s="31">
        <f>INDEX(OpModel_Link!$H$62:$Q$62,MATCH(O$152,OpModel_Link!$H$3:$Q$3,0))</f>
        <v>0</v>
      </c>
      <c r="P161" s="31">
        <f>INDEX(OpModel_Link!$H$62:$Q$62,MATCH(P$152,OpModel_Link!$H$3:$Q$3,0))</f>
        <v>0</v>
      </c>
      <c r="Q161" s="31">
        <f>INDEX(OpModel_Link!$H$62:$Q$62,MATCH(Q$152,OpModel_Link!$H$3:$Q$3,0))</f>
        <v>0</v>
      </c>
      <c r="R161" s="201">
        <f>(1-stub)*INDEX($M161:$Q161,MATCH(EDATE($R$151,12),$M$152:$Q$152,0))</f>
        <v>0</v>
      </c>
      <c r="S161" s="75">
        <f>stub*INDEX($M161:$Q161,MATCH($R$151,$M$152:$Q$152,0))+R161</f>
        <v>0</v>
      </c>
    </row>
    <row r="162" spans="1:19" s="5" customFormat="1" outlineLevel="1">
      <c r="A162" s="30"/>
      <c r="B162" s="5" t="s">
        <v>31</v>
      </c>
      <c r="G162" s="105"/>
      <c r="I162" s="105"/>
      <c r="J162" s="105"/>
      <c r="L162" s="33">
        <f t="shared" ref="L162:S162" ca="1" si="40">SUM(L158:L161)</f>
        <v>3.5588851283616258</v>
      </c>
      <c r="M162" s="33">
        <f t="shared" ca="1" si="40"/>
        <v>6.4057957262265317</v>
      </c>
      <c r="N162" s="33">
        <f t="shared" ca="1" si="40"/>
        <v>6.0237318944335003</v>
      </c>
      <c r="O162" s="33">
        <f t="shared" ca="1" si="40"/>
        <v>5.3222877081222562</v>
      </c>
      <c r="P162" s="33">
        <f t="shared" ca="1" si="40"/>
        <v>4.7115182271818767</v>
      </c>
      <c r="Q162" s="33">
        <f t="shared" ca="1" si="40"/>
        <v>4.9934705579818157</v>
      </c>
      <c r="R162" s="202">
        <f t="shared" ca="1" si="40"/>
        <v>2.4967352789909079</v>
      </c>
      <c r="S162" s="203">
        <f t="shared" ca="1" si="40"/>
        <v>4.8524943925818453</v>
      </c>
    </row>
    <row r="163" spans="1:19" outlineLevel="1">
      <c r="C163" s="4" t="s">
        <v>20</v>
      </c>
      <c r="G163" s="31"/>
      <c r="H163" s="31"/>
      <c r="I163" s="31"/>
      <c r="J163" s="31"/>
      <c r="L163" s="31">
        <f t="shared" ref="L163:S163" ca="1" si="41">L162-L155</f>
        <v>6.3029686787360806</v>
      </c>
      <c r="M163" s="31">
        <f t="shared" ca="1" si="41"/>
        <v>11.878750687361961</v>
      </c>
      <c r="N163" s="31">
        <f t="shared" ca="1" si="41"/>
        <v>11.468353040569406</v>
      </c>
      <c r="O163" s="31">
        <f t="shared" ca="1" si="41"/>
        <v>10.764468633461533</v>
      </c>
      <c r="P163" s="31">
        <f t="shared" ca="1" si="41"/>
        <v>10.227830385416777</v>
      </c>
      <c r="Q163" s="31">
        <f t="shared" ca="1" si="41"/>
        <v>10.597452001366474</v>
      </c>
      <c r="R163" s="201">
        <f t="shared" ca="1" si="41"/>
        <v>5.2987260006832368</v>
      </c>
      <c r="S163" s="75">
        <f t="shared" ca="1" si="41"/>
        <v>10.412641193391625</v>
      </c>
    </row>
    <row r="164" spans="1:19" s="4" customFormat="1" outlineLevel="1">
      <c r="A164" s="28"/>
      <c r="C164" s="4" t="s">
        <v>215</v>
      </c>
      <c r="G164" s="31"/>
      <c r="H164" s="75"/>
      <c r="I164" s="75"/>
      <c r="J164" s="75"/>
      <c r="L164" s="31">
        <f ca="1">L162-F89</f>
        <v>3.5588851283616258</v>
      </c>
      <c r="M164" s="31">
        <f ca="1">M162+L164</f>
        <v>9.964680854588158</v>
      </c>
      <c r="N164" s="31">
        <f ca="1">N162+M164</f>
        <v>15.988412749021659</v>
      </c>
      <c r="O164" s="31">
        <f ca="1">O162+N164</f>
        <v>21.310700457143916</v>
      </c>
      <c r="P164" s="31">
        <f ca="1">P162+O164</f>
        <v>26.022218684325793</v>
      </c>
      <c r="Q164" s="31">
        <f ca="1">Q162+P164</f>
        <v>31.015689242307609</v>
      </c>
      <c r="R164" s="201">
        <f ca="1">INDEX(M164:Q164,MATCH(R151,M152:Q152,0))+R163</f>
        <v>31.320944685009032</v>
      </c>
      <c r="S164" s="75">
        <f ca="1">R164</f>
        <v>31.320944685009032</v>
      </c>
    </row>
    <row r="165" spans="1:19" outlineLevel="1">
      <c r="A165" s="76" t="b">
        <f ca="1">SUM(M165:Q165)=SUM(K248:Q248)</f>
        <v>1</v>
      </c>
      <c r="G165" s="31"/>
      <c r="H165" s="31"/>
      <c r="I165" s="31"/>
      <c r="J165" s="31"/>
      <c r="L165" s="77"/>
      <c r="M165" s="77"/>
      <c r="N165" s="77"/>
      <c r="O165" s="77"/>
      <c r="P165" s="77"/>
      <c r="Q165" s="77"/>
      <c r="R165" s="201"/>
      <c r="S165" s="75"/>
    </row>
    <row r="166" spans="1:19" outlineLevel="1">
      <c r="B166" s="5" t="s">
        <v>117</v>
      </c>
      <c r="G166" s="31"/>
      <c r="I166" s="10"/>
      <c r="J166" s="10"/>
      <c r="L166" s="31"/>
      <c r="M166" s="31"/>
      <c r="N166" s="31"/>
      <c r="O166" s="31"/>
      <c r="P166" s="31"/>
      <c r="Q166" s="31"/>
      <c r="R166" s="201"/>
      <c r="S166" s="75"/>
    </row>
    <row r="167" spans="1:19" outlineLevel="1">
      <c r="C167" s="6" t="s">
        <v>118</v>
      </c>
      <c r="G167" s="31"/>
      <c r="I167" s="10"/>
      <c r="J167" s="10"/>
      <c r="L167" s="31">
        <f t="shared" ref="L167:Q167" ca="1" si="42">-SUM(K266,K275)</f>
        <v>0</v>
      </c>
      <c r="M167" s="31">
        <f t="shared" ca="1" si="42"/>
        <v>0</v>
      </c>
      <c r="N167" s="31">
        <f t="shared" ca="1" si="42"/>
        <v>0</v>
      </c>
      <c r="O167" s="31">
        <f t="shared" ca="1" si="42"/>
        <v>0</v>
      </c>
      <c r="P167" s="31">
        <f t="shared" ca="1" si="42"/>
        <v>0</v>
      </c>
      <c r="Q167" s="31">
        <f t="shared" ca="1" si="42"/>
        <v>0</v>
      </c>
      <c r="R167" s="201">
        <f ca="1">(1-stub)*INDEX($M167:$Q167,MATCH(EDATE($R$151,12),$M$152:$Q$152,0))</f>
        <v>0</v>
      </c>
      <c r="S167" s="75">
        <f ca="1">stub*INDEX($M167:$Q167,MATCH($R$151,$M$152:$Q$152,0))+R167</f>
        <v>0</v>
      </c>
    </row>
    <row r="168" spans="1:19" s="5" customFormat="1" outlineLevel="1">
      <c r="A168" s="30"/>
      <c r="B168" s="74" t="s">
        <v>119</v>
      </c>
      <c r="G168" s="105"/>
      <c r="I168" s="105"/>
      <c r="J168" s="105"/>
      <c r="L168" s="33">
        <f t="shared" ref="L168:Q168" ca="1" si="43">SUM(L167,L162)</f>
        <v>3.5588851283616258</v>
      </c>
      <c r="M168" s="33">
        <f t="shared" ca="1" si="43"/>
        <v>6.4057957262265317</v>
      </c>
      <c r="N168" s="33">
        <f t="shared" ca="1" si="43"/>
        <v>6.0237318944335003</v>
      </c>
      <c r="O168" s="33">
        <f t="shared" ca="1" si="43"/>
        <v>5.3222877081222562</v>
      </c>
      <c r="P168" s="33">
        <f t="shared" ca="1" si="43"/>
        <v>4.7115182271818767</v>
      </c>
      <c r="Q168" s="33">
        <f t="shared" ca="1" si="43"/>
        <v>4.9934705579818157</v>
      </c>
      <c r="R168" s="202">
        <f t="shared" ref="R168" ca="1" si="44">SUM(R167,R162)</f>
        <v>2.4967352789909079</v>
      </c>
      <c r="S168" s="203">
        <f t="shared" ref="S168" ca="1" si="45">SUM(S167,S162)</f>
        <v>4.8524943925818453</v>
      </c>
    </row>
    <row r="169" spans="1:19" outlineLevel="1">
      <c r="G169" s="31"/>
      <c r="I169" s="10"/>
      <c r="J169" s="10"/>
      <c r="L169" s="31"/>
      <c r="M169" s="31"/>
      <c r="N169" s="31"/>
      <c r="O169" s="31"/>
      <c r="P169" s="31"/>
      <c r="Q169" s="31"/>
      <c r="R169" s="201"/>
      <c r="S169" s="75"/>
    </row>
    <row r="170" spans="1:19" outlineLevel="2">
      <c r="C170" s="6" t="s">
        <v>217</v>
      </c>
      <c r="G170" s="31"/>
      <c r="I170" s="10"/>
      <c r="J170" s="10"/>
      <c r="L170" s="31">
        <f t="shared" ref="L170:Q170" si="46">-SUM(K264,K273)</f>
        <v>0</v>
      </c>
      <c r="M170" s="31">
        <f t="shared" si="46"/>
        <v>0</v>
      </c>
      <c r="N170" s="31">
        <f t="shared" si="46"/>
        <v>0</v>
      </c>
      <c r="O170" s="31">
        <f t="shared" si="46"/>
        <v>0</v>
      </c>
      <c r="P170" s="31">
        <f t="shared" si="46"/>
        <v>0</v>
      </c>
      <c r="Q170" s="31">
        <f t="shared" si="46"/>
        <v>0</v>
      </c>
      <c r="R170" s="201">
        <f>(1-stub)*INDEX($M170:$Q170,MATCH(EDATE($R$151,12),$M$152:$Q$152,0))</f>
        <v>0</v>
      </c>
      <c r="S170" s="75">
        <f>stub*INDEX($M170:$Q170,MATCH($R$151,$M$152:$Q$152,0))+R170</f>
        <v>0</v>
      </c>
    </row>
    <row r="171" spans="1:19" outlineLevel="1">
      <c r="C171" s="6" t="s">
        <v>243</v>
      </c>
      <c r="G171" s="31"/>
      <c r="I171" s="10"/>
      <c r="J171" s="10"/>
      <c r="L171" s="31">
        <f t="shared" ref="L171:Q171" ca="1" si="47">-K253</f>
        <v>0</v>
      </c>
      <c r="M171" s="31">
        <f t="shared" ca="1" si="47"/>
        <v>0</v>
      </c>
      <c r="N171" s="31">
        <f t="shared" ca="1" si="47"/>
        <v>0</v>
      </c>
      <c r="O171" s="31">
        <f t="shared" ca="1" si="47"/>
        <v>0</v>
      </c>
      <c r="P171" s="31">
        <f t="shared" ca="1" si="47"/>
        <v>0</v>
      </c>
      <c r="Q171" s="31">
        <f t="shared" ca="1" si="47"/>
        <v>0</v>
      </c>
      <c r="R171" s="201">
        <f ca="1">(1-stub)*INDEX($M171:$Q171,MATCH(EDATE($R$151,12),$M$152:$Q$152,0))</f>
        <v>0</v>
      </c>
      <c r="S171" s="75">
        <f ca="1">stub*INDEX($M171:$Q171,MATCH($R$151,$M$152:$Q$152,0))+R171</f>
        <v>0</v>
      </c>
    </row>
    <row r="172" spans="1:19" outlineLevel="1">
      <c r="C172" s="6" t="s">
        <v>218</v>
      </c>
      <c r="G172" s="31"/>
      <c r="I172" s="10"/>
      <c r="J172" s="10"/>
      <c r="L172" s="31">
        <f t="shared" ref="L172:Q172" ca="1" si="48">-SUM(K258,K267,K276)</f>
        <v>0</v>
      </c>
      <c r="M172" s="31">
        <f t="shared" ca="1" si="48"/>
        <v>0</v>
      </c>
      <c r="N172" s="31">
        <f t="shared" ca="1" si="48"/>
        <v>0</v>
      </c>
      <c r="O172" s="31">
        <f t="shared" ca="1" si="48"/>
        <v>0</v>
      </c>
      <c r="P172" s="31">
        <f t="shared" ca="1" si="48"/>
        <v>0</v>
      </c>
      <c r="Q172" s="31">
        <f t="shared" ca="1" si="48"/>
        <v>0</v>
      </c>
      <c r="R172" s="201">
        <f ca="1">(1-stub)*INDEX($M172:$Q172,MATCH(EDATE($R$151,12),$M$152:$Q$152,0))</f>
        <v>0</v>
      </c>
      <c r="S172" s="75">
        <f ca="1">stub*INDEX($M172:$Q172,MATCH($R$151,$M$152:$Q$152,0))+R172</f>
        <v>0</v>
      </c>
    </row>
    <row r="173" spans="1:19" outlineLevel="2">
      <c r="C173" s="6" t="s">
        <v>219</v>
      </c>
      <c r="G173" s="31"/>
      <c r="I173" s="10"/>
      <c r="J173" s="10"/>
      <c r="L173" s="31">
        <f t="shared" ref="L173:Q173" ca="1" si="49">+K306</f>
        <v>0</v>
      </c>
      <c r="M173" s="31">
        <f t="shared" ca="1" si="49"/>
        <v>0</v>
      </c>
      <c r="N173" s="31">
        <f t="shared" ca="1" si="49"/>
        <v>0</v>
      </c>
      <c r="O173" s="31">
        <f t="shared" ca="1" si="49"/>
        <v>0</v>
      </c>
      <c r="P173" s="31">
        <f t="shared" ca="1" si="49"/>
        <v>0</v>
      </c>
      <c r="Q173" s="31">
        <f t="shared" ca="1" si="49"/>
        <v>0</v>
      </c>
      <c r="R173" s="201">
        <f ca="1">(1-stub)*INDEX($M173:$Q173,MATCH(EDATE($R$151,12),$M$152:$Q$152,0))</f>
        <v>0</v>
      </c>
      <c r="S173" s="75">
        <f ca="1">stub*INDEX($M173:$Q173,MATCH($R$151,$M$152:$Q$152,0))+R173</f>
        <v>0</v>
      </c>
    </row>
    <row r="174" spans="1:19" s="5" customFormat="1" outlineLevel="1">
      <c r="A174" s="30"/>
      <c r="B174" s="74" t="s">
        <v>121</v>
      </c>
      <c r="G174" s="105"/>
      <c r="I174" s="105"/>
      <c r="J174" s="105"/>
      <c r="L174" s="33">
        <f t="shared" ref="L174:Q174" ca="1" si="50">SUM(L170:L173,L168)</f>
        <v>3.5588851283616258</v>
      </c>
      <c r="M174" s="33">
        <f t="shared" ca="1" si="50"/>
        <v>6.4057957262265317</v>
      </c>
      <c r="N174" s="33">
        <f t="shared" ca="1" si="50"/>
        <v>6.0237318944335003</v>
      </c>
      <c r="O174" s="33">
        <f t="shared" ca="1" si="50"/>
        <v>5.3222877081222562</v>
      </c>
      <c r="P174" s="33">
        <f t="shared" ca="1" si="50"/>
        <v>4.7115182271818767</v>
      </c>
      <c r="Q174" s="33">
        <f t="shared" ca="1" si="50"/>
        <v>4.9934705579818157</v>
      </c>
      <c r="R174" s="202">
        <f t="shared" ref="R174" ca="1" si="51">SUM(R170:R173,R168)</f>
        <v>2.4967352789909079</v>
      </c>
      <c r="S174" s="203">
        <f t="shared" ref="S174" ca="1" si="52">SUM(S170:S173,S168)</f>
        <v>4.8524943925818453</v>
      </c>
    </row>
    <row r="175" spans="1:19" outlineLevel="1">
      <c r="G175" s="31"/>
      <c r="I175" s="10"/>
      <c r="J175" s="10"/>
      <c r="L175" s="117"/>
      <c r="M175" s="117"/>
      <c r="N175" s="31"/>
      <c r="O175" s="31"/>
      <c r="P175" s="31"/>
      <c r="Q175" s="31"/>
      <c r="R175" s="201"/>
      <c r="S175" s="75"/>
    </row>
    <row r="176" spans="1:19" outlineLevel="1">
      <c r="C176" s="6" t="s">
        <v>32</v>
      </c>
      <c r="G176" s="31"/>
      <c r="I176" s="10"/>
      <c r="J176" s="10"/>
      <c r="L176" s="31">
        <f t="shared" ref="L176:Q176" ca="1" si="53">+SUM(K259,K268,K277)</f>
        <v>-60.563908085910008</v>
      </c>
      <c r="M176" s="31">
        <f t="shared" ca="1" si="53"/>
        <v>-60.563908085910015</v>
      </c>
      <c r="N176" s="31">
        <f t="shared" ca="1" si="53"/>
        <v>-60.563908085910008</v>
      </c>
      <c r="O176" s="31">
        <f t="shared" ca="1" si="53"/>
        <v>-60.563908085910008</v>
      </c>
      <c r="P176" s="31">
        <f t="shared" ca="1" si="53"/>
        <v>-60.563908085910015</v>
      </c>
      <c r="Q176" s="31">
        <f t="shared" ca="1" si="53"/>
        <v>-60.563908085910015</v>
      </c>
      <c r="R176" s="201">
        <f t="shared" ref="R176" ca="1" si="54">+SUM(R259,R268,R277)</f>
        <v>-60.563908085910015</v>
      </c>
      <c r="S176" s="75">
        <f ca="1">R176</f>
        <v>-60.563908085910015</v>
      </c>
    </row>
    <row r="177" spans="1:34" outlineLevel="1">
      <c r="C177" s="6" t="s">
        <v>122</v>
      </c>
      <c r="G177" s="31"/>
      <c r="I177" s="10"/>
      <c r="J177" s="76">
        <f>+Min_cash</f>
        <v>0</v>
      </c>
      <c r="L177" s="31">
        <f ca="1">J177+L174</f>
        <v>3.5588851283616258</v>
      </c>
      <c r="M177" s="31">
        <f ca="1">L177+M174</f>
        <v>9.964680854588158</v>
      </c>
      <c r="N177" s="31">
        <f ca="1">M177+N174</f>
        <v>15.988412749021659</v>
      </c>
      <c r="O177" s="31">
        <f ca="1">N177+O174</f>
        <v>21.310700457143916</v>
      </c>
      <c r="P177" s="31">
        <f ca="1">O177+P174</f>
        <v>26.022218684325793</v>
      </c>
      <c r="Q177" s="31">
        <f ca="1">P177+Q174</f>
        <v>31.015689242307609</v>
      </c>
      <c r="R177" s="201">
        <f ca="1">INDEX(M177:Q177,MATCH($R$151,$M$152:$Q$152,0))+R174</f>
        <v>28.518953963316701</v>
      </c>
      <c r="S177" s="75">
        <f ca="1">R177</f>
        <v>28.518953963316701</v>
      </c>
    </row>
    <row r="178" spans="1:34" s="5" customFormat="1" outlineLevel="1">
      <c r="A178" s="30"/>
      <c r="B178" s="74" t="s">
        <v>216</v>
      </c>
      <c r="G178" s="105"/>
      <c r="I178" s="105"/>
      <c r="J178" s="105"/>
      <c r="L178" s="33">
        <f t="shared" ref="L178:S178" ca="1" si="55">SUM(L176:L177)</f>
        <v>-57.005022957548384</v>
      </c>
      <c r="M178" s="33">
        <f t="shared" ca="1" si="55"/>
        <v>-50.599227231321855</v>
      </c>
      <c r="N178" s="33">
        <f t="shared" ca="1" si="55"/>
        <v>-44.575495336888352</v>
      </c>
      <c r="O178" s="33">
        <f t="shared" ca="1" si="55"/>
        <v>-39.253207628766091</v>
      </c>
      <c r="P178" s="33">
        <f t="shared" ca="1" si="55"/>
        <v>-34.541689401584222</v>
      </c>
      <c r="Q178" s="33">
        <f t="shared" ca="1" si="55"/>
        <v>-29.548218843602406</v>
      </c>
      <c r="R178" s="202">
        <f t="shared" ca="1" si="55"/>
        <v>-32.04495412259331</v>
      </c>
      <c r="S178" s="203">
        <f t="shared" ca="1" si="55"/>
        <v>-32.04495412259331</v>
      </c>
    </row>
    <row r="179" spans="1:34" outlineLevel="1" collapsed="1">
      <c r="G179" s="31"/>
      <c r="I179" s="10"/>
      <c r="J179" s="10"/>
      <c r="L179" s="77" t="b">
        <f t="shared" ref="L179:Q179" ca="1" si="56">ROUND(L177,3)=ROUND(K247,3)</f>
        <v>1</v>
      </c>
      <c r="M179" s="77" t="b">
        <f t="shared" ca="1" si="56"/>
        <v>1</v>
      </c>
      <c r="N179" s="77" t="b">
        <f t="shared" ca="1" si="56"/>
        <v>1</v>
      </c>
      <c r="O179" s="77" t="b">
        <f t="shared" ca="1" si="56"/>
        <v>1</v>
      </c>
      <c r="P179" s="77" t="b">
        <f t="shared" ca="1" si="56"/>
        <v>1</v>
      </c>
      <c r="Q179" s="77" t="b">
        <f t="shared" ca="1" si="56"/>
        <v>1</v>
      </c>
      <c r="R179" s="77" t="b">
        <f t="shared" ref="R179" ca="1" si="57">ROUND(R177,3)=ROUND(R247,3)</f>
        <v>1</v>
      </c>
    </row>
    <row r="180" spans="1:34">
      <c r="G180" s="31"/>
      <c r="I180" s="10"/>
      <c r="J180" s="10"/>
      <c r="L180" s="77"/>
      <c r="M180" s="77"/>
      <c r="N180" s="77"/>
      <c r="O180" s="77"/>
      <c r="P180" s="77"/>
      <c r="Q180" s="77"/>
      <c r="R180" s="77"/>
    </row>
    <row r="181" spans="1:34" s="35" customFormat="1">
      <c r="A181" s="2" t="s">
        <v>135</v>
      </c>
    </row>
    <row r="182" spans="1:34" outlineLevel="1">
      <c r="I182" s="76" t="b">
        <f>+I184=X187</f>
        <v>1</v>
      </c>
      <c r="J182" s="76" t="b">
        <f>+J184=X188</f>
        <v>1</v>
      </c>
      <c r="K182" s="76" t="b">
        <f>+K184=X189</f>
        <v>1</v>
      </c>
      <c r="L182" s="76" t="b">
        <f>+L184=X190</f>
        <v>1</v>
      </c>
      <c r="M182" s="76" t="b">
        <f>M184=X191</f>
        <v>1</v>
      </c>
      <c r="N182" s="76" t="b">
        <f>N184=X192</f>
        <v>1</v>
      </c>
      <c r="O182" s="76" t="b">
        <f>O184=X193</f>
        <v>1</v>
      </c>
      <c r="P182" s="76" t="b">
        <f>P184=X194</f>
        <v>1</v>
      </c>
      <c r="Q182" s="76" t="b">
        <f>Q184=X195</f>
        <v>1</v>
      </c>
    </row>
    <row r="183" spans="1:34" ht="14.4" outlineLevel="1" thickBot="1">
      <c r="G183" s="27" t="b">
        <f>$I$31=S152</f>
        <v>1</v>
      </c>
      <c r="I183" s="122" t="str">
        <f>"Exit multiple as at "&amp;TEXT($I$31,"mmm yyyy")</f>
        <v>Exit multiple as at Jun 2031</v>
      </c>
      <c r="J183" s="119"/>
      <c r="K183" s="119"/>
      <c r="L183" s="119"/>
      <c r="M183" s="119"/>
      <c r="N183" s="119"/>
      <c r="O183" s="119"/>
      <c r="P183" s="119"/>
      <c r="Q183" s="120"/>
    </row>
    <row r="184" spans="1:34" outlineLevel="1">
      <c r="B184" s="6" t="s">
        <v>124</v>
      </c>
      <c r="I184" s="124">
        <f t="shared" ref="I184:K184" si="58">J184-$J$27</f>
        <v>8</v>
      </c>
      <c r="J184" s="125">
        <f t="shared" si="58"/>
        <v>8.5</v>
      </c>
      <c r="K184" s="125">
        <f t="shared" si="58"/>
        <v>9</v>
      </c>
      <c r="L184" s="125">
        <f>M184-$J$27</f>
        <v>9.5</v>
      </c>
      <c r="M184" s="123">
        <f>I27</f>
        <v>10</v>
      </c>
      <c r="N184" s="125">
        <f>M184+$J$27</f>
        <v>10.5</v>
      </c>
      <c r="O184" s="125">
        <f t="shared" ref="O184:Q184" si="59">N184+$J$27</f>
        <v>11</v>
      </c>
      <c r="P184" s="125">
        <f t="shared" si="59"/>
        <v>11.5</v>
      </c>
      <c r="Q184" s="126">
        <f t="shared" si="59"/>
        <v>12</v>
      </c>
      <c r="W184" s="140"/>
      <c r="X184" s="166" t="s">
        <v>227</v>
      </c>
      <c r="Y184" s="141"/>
      <c r="Z184" s="141"/>
      <c r="AA184" s="141"/>
      <c r="AB184" s="141"/>
      <c r="AC184" s="141"/>
      <c r="AD184" s="141"/>
      <c r="AE184" s="141"/>
      <c r="AF184" s="141"/>
      <c r="AG184" s="142"/>
    </row>
    <row r="185" spans="1:34" outlineLevel="1">
      <c r="B185" s="6" t="str">
        <f>"LFY EBITDA at exit ("&amp;TEXT(S152,"mmm yy")&amp;")"</f>
        <v>LFY EBITDA at exit (Jun 31)</v>
      </c>
      <c r="G185" s="85">
        <f>S153+S154</f>
        <v>15.882482716356076</v>
      </c>
      <c r="I185" s="31">
        <f>$G$185</f>
        <v>15.882482716356076</v>
      </c>
      <c r="J185" s="31">
        <f t="shared" ref="J185:Q185" si="60">$G$185</f>
        <v>15.882482716356076</v>
      </c>
      <c r="K185" s="31">
        <f t="shared" si="60"/>
        <v>15.882482716356076</v>
      </c>
      <c r="L185" s="31">
        <f t="shared" si="60"/>
        <v>15.882482716356076</v>
      </c>
      <c r="M185" s="185">
        <f t="shared" si="60"/>
        <v>15.882482716356076</v>
      </c>
      <c r="N185" s="31">
        <f t="shared" si="60"/>
        <v>15.882482716356076</v>
      </c>
      <c r="O185" s="31">
        <f t="shared" si="60"/>
        <v>15.882482716356076</v>
      </c>
      <c r="P185" s="31">
        <f t="shared" si="60"/>
        <v>15.882482716356076</v>
      </c>
      <c r="Q185" s="31">
        <f t="shared" si="60"/>
        <v>15.882482716356076</v>
      </c>
      <c r="W185" s="143"/>
      <c r="X185" s="35"/>
      <c r="Y185" s="165" t="s">
        <v>226</v>
      </c>
      <c r="Z185" s="144"/>
      <c r="AA185" s="144"/>
      <c r="AB185" s="144"/>
      <c r="AC185" s="144"/>
      <c r="AD185" s="144"/>
      <c r="AE185" s="144"/>
      <c r="AF185" s="144"/>
      <c r="AG185" s="145"/>
    </row>
    <row r="186" spans="1:34" outlineLevel="1">
      <c r="B186" s="74" t="s">
        <v>11</v>
      </c>
      <c r="I186" s="34">
        <f>I185*I184</f>
        <v>127.05986173084861</v>
      </c>
      <c r="J186" s="34">
        <f t="shared" ref="J186:Q186" si="61">J185*J184</f>
        <v>135.00110308902666</v>
      </c>
      <c r="K186" s="34">
        <f t="shared" si="61"/>
        <v>142.94234444720468</v>
      </c>
      <c r="L186" s="34">
        <f t="shared" si="61"/>
        <v>150.88358580538272</v>
      </c>
      <c r="M186" s="186">
        <f t="shared" si="61"/>
        <v>158.82482716356077</v>
      </c>
      <c r="N186" s="34">
        <f t="shared" si="61"/>
        <v>166.76606852173879</v>
      </c>
      <c r="O186" s="34">
        <f t="shared" si="61"/>
        <v>174.70730987991683</v>
      </c>
      <c r="P186" s="34">
        <f t="shared" si="61"/>
        <v>182.64855123809488</v>
      </c>
      <c r="Q186" s="34">
        <f t="shared" si="61"/>
        <v>190.5897925962729</v>
      </c>
      <c r="W186" s="143"/>
      <c r="X186" s="146">
        <f ca="1">M212</f>
        <v>0.10332530140876769</v>
      </c>
      <c r="Y186" s="147">
        <f t="shared" ref="Y186:AA186" si="62">+Z186-$J$25</f>
        <v>8</v>
      </c>
      <c r="Z186" s="147">
        <f t="shared" si="62"/>
        <v>8.5</v>
      </c>
      <c r="AA186" s="147">
        <f t="shared" si="62"/>
        <v>9</v>
      </c>
      <c r="AB186" s="147">
        <f>+AC186-$J$25</f>
        <v>9.5</v>
      </c>
      <c r="AC186" s="228">
        <v>10</v>
      </c>
      <c r="AD186" s="147">
        <f>+AC186+$J$25</f>
        <v>10.5</v>
      </c>
      <c r="AE186" s="147">
        <f t="shared" ref="AE186:AG186" si="63">+AD186+$J$25</f>
        <v>11</v>
      </c>
      <c r="AF186" s="147">
        <f t="shared" si="63"/>
        <v>11.5</v>
      </c>
      <c r="AG186" s="148">
        <f t="shared" si="63"/>
        <v>12</v>
      </c>
      <c r="AH186" s="59"/>
    </row>
    <row r="187" spans="1:34" outlineLevel="1">
      <c r="B187" s="6" t="s">
        <v>274</v>
      </c>
      <c r="I187" s="31">
        <f ca="1">$R$178</f>
        <v>-32.04495412259331</v>
      </c>
      <c r="J187" s="31">
        <f t="shared" ref="J187:Q187" ca="1" si="64">$R$178</f>
        <v>-32.04495412259331</v>
      </c>
      <c r="K187" s="31">
        <f t="shared" ca="1" si="64"/>
        <v>-32.04495412259331</v>
      </c>
      <c r="L187" s="31">
        <f t="shared" ca="1" si="64"/>
        <v>-32.04495412259331</v>
      </c>
      <c r="M187" s="185">
        <f t="shared" ca="1" si="64"/>
        <v>-32.04495412259331</v>
      </c>
      <c r="N187" s="31">
        <f t="shared" ca="1" si="64"/>
        <v>-32.04495412259331</v>
      </c>
      <c r="O187" s="31">
        <f t="shared" ca="1" si="64"/>
        <v>-32.04495412259331</v>
      </c>
      <c r="P187" s="31">
        <f t="shared" ca="1" si="64"/>
        <v>-32.04495412259331</v>
      </c>
      <c r="Q187" s="31">
        <f t="shared" ca="1" si="64"/>
        <v>-32.04495412259331</v>
      </c>
      <c r="W187" s="320" t="s">
        <v>59</v>
      </c>
      <c r="X187" s="149">
        <f t="shared" ref="X187:X189" si="65">+X188-$J$38</f>
        <v>8</v>
      </c>
      <c r="Y187" s="155">
        <f t="dataTable" ref="Y187:AG195" dt2D="1" dtr="1" r1="I25" r2="I27" ca="1"/>
        <v>0.13044342398643491</v>
      </c>
      <c r="Z187" s="155">
        <v>0.10618161559104919</v>
      </c>
      <c r="AA187" s="155">
        <v>8.3041217923164393E-2</v>
      </c>
      <c r="AB187" s="155">
        <v>6.1500731110572818E-2</v>
      </c>
      <c r="AC187" s="155">
        <v>4.2300471663475031E-2</v>
      </c>
      <c r="AD187" s="155">
        <v>2.5012794137001037E-2</v>
      </c>
      <c r="AE187" s="155">
        <v>9.3150585889816319E-3</v>
      </c>
      <c r="AF187" s="155">
        <v>-5.0418227910995492E-3</v>
      </c>
      <c r="AG187" s="156">
        <v>-1.8253943324089052E-2</v>
      </c>
    </row>
    <row r="188" spans="1:34" outlineLevel="1">
      <c r="B188" s="74" t="s">
        <v>125</v>
      </c>
      <c r="I188" s="34">
        <f ca="1">SUM(I186:I187)</f>
        <v>95.014907608255299</v>
      </c>
      <c r="J188" s="34">
        <f t="shared" ref="J188:Q188" ca="1" si="66">SUM(J186:J187)</f>
        <v>102.95614896643335</v>
      </c>
      <c r="K188" s="34">
        <f t="shared" ca="1" si="66"/>
        <v>110.89739032461137</v>
      </c>
      <c r="L188" s="34">
        <f t="shared" ca="1" si="66"/>
        <v>118.83863168278941</v>
      </c>
      <c r="M188" s="186">
        <f t="shared" ca="1" si="66"/>
        <v>126.77987304096746</v>
      </c>
      <c r="N188" s="34">
        <f t="shared" ca="1" si="66"/>
        <v>134.72111439914548</v>
      </c>
      <c r="O188" s="34">
        <f t="shared" ca="1" si="66"/>
        <v>142.66235575732352</v>
      </c>
      <c r="P188" s="34">
        <f t="shared" ca="1" si="66"/>
        <v>150.60359711550157</v>
      </c>
      <c r="Q188" s="34">
        <f t="shared" ca="1" si="66"/>
        <v>158.54483847367959</v>
      </c>
      <c r="W188" s="320"/>
      <c r="X188" s="149">
        <f t="shared" si="65"/>
        <v>8.5</v>
      </c>
      <c r="Y188" s="155">
        <v>0.14641606211662295</v>
      </c>
      <c r="Z188" s="155">
        <v>0.12155093550682067</v>
      </c>
      <c r="AA188" s="155">
        <v>0.10026039481163027</v>
      </c>
      <c r="AB188" s="155">
        <v>7.8669968247413652E-2</v>
      </c>
      <c r="AC188" s="155">
        <v>5.9159150719642645E-2</v>
      </c>
      <c r="AD188" s="155">
        <v>4.159185588359833E-2</v>
      </c>
      <c r="AE188" s="155">
        <v>2.5640222430229193E-2</v>
      </c>
      <c r="AF188" s="155">
        <v>1.1051121354103088E-2</v>
      </c>
      <c r="AG188" s="156">
        <v>-2.3746997117996219E-3</v>
      </c>
    </row>
    <row r="189" spans="1:34" ht="14.4" outlineLevel="1" thickBot="1">
      <c r="I189" s="31"/>
      <c r="J189" s="31"/>
      <c r="K189" s="31"/>
      <c r="L189" s="31"/>
      <c r="M189" s="185"/>
      <c r="N189" s="31"/>
      <c r="O189" s="31"/>
      <c r="P189" s="31"/>
      <c r="Q189" s="31"/>
      <c r="W189" s="320"/>
      <c r="X189" s="149">
        <f t="shared" si="65"/>
        <v>9</v>
      </c>
      <c r="Y189" s="155">
        <v>0.16154462695121768</v>
      </c>
      <c r="Z189" s="155">
        <v>0.13612071871757511</v>
      </c>
      <c r="AA189" s="155">
        <v>0.11433427929878237</v>
      </c>
      <c r="AB189" s="155">
        <v>9.4810262322425842E-2</v>
      </c>
      <c r="AC189" s="155">
        <v>7.5007501244545E-2</v>
      </c>
      <c r="AD189" s="155">
        <v>5.7177349925041213E-2</v>
      </c>
      <c r="AE189" s="155">
        <v>4.0987023711204537E-2</v>
      </c>
      <c r="AF189" s="155">
        <v>2.6179626584053043E-2</v>
      </c>
      <c r="AG189" s="156">
        <v>1.2552914023399354E-2</v>
      </c>
    </row>
    <row r="190" spans="1:34" outlineLevel="1">
      <c r="B190" s="6" t="s">
        <v>126</v>
      </c>
      <c r="G190" s="121">
        <f ca="1">+R307</f>
        <v>123.59879974909146</v>
      </c>
      <c r="I190" s="31">
        <f ca="1">MIN(I188,$G$190)</f>
        <v>95.014907608255299</v>
      </c>
      <c r="J190" s="31">
        <f t="shared" ref="J190:Q190" ca="1" si="67">MIN(J188,$G$190)</f>
        <v>102.95614896643335</v>
      </c>
      <c r="K190" s="31">
        <f t="shared" ca="1" si="67"/>
        <v>110.89739032461137</v>
      </c>
      <c r="L190" s="31">
        <f t="shared" ca="1" si="67"/>
        <v>118.83863168278941</v>
      </c>
      <c r="M190" s="185">
        <f t="shared" ca="1" si="67"/>
        <v>123.59879974909146</v>
      </c>
      <c r="N190" s="31">
        <f t="shared" ca="1" si="67"/>
        <v>123.59879974909146</v>
      </c>
      <c r="O190" s="31">
        <f t="shared" ca="1" si="67"/>
        <v>123.59879974909146</v>
      </c>
      <c r="P190" s="31">
        <f t="shared" ca="1" si="67"/>
        <v>123.59879974909146</v>
      </c>
      <c r="Q190" s="31">
        <f t="shared" ca="1" si="67"/>
        <v>123.59879974909146</v>
      </c>
      <c r="W190" s="320"/>
      <c r="X190" s="149">
        <f>+X191-$J$38</f>
        <v>9.5</v>
      </c>
      <c r="Y190" s="155">
        <v>0.17592325806617737</v>
      </c>
      <c r="Z190" s="155">
        <v>0.14997885823249818</v>
      </c>
      <c r="AA190" s="155">
        <v>0.12773066163063052</v>
      </c>
      <c r="AB190" s="172">
        <v>0.10835773348808289</v>
      </c>
      <c r="AC190" s="173">
        <v>8.9972320199012773E-2</v>
      </c>
      <c r="AD190" s="174">
        <v>7.1893957257270838E-2</v>
      </c>
      <c r="AE190" s="155">
        <v>5.5478253960609444E-2</v>
      </c>
      <c r="AF190" s="155">
        <v>4.0464726090431224E-2</v>
      </c>
      <c r="AG190" s="156">
        <v>2.6648321747779848E-2</v>
      </c>
    </row>
    <row r="191" spans="1:34" s="4" customFormat="1" outlineLevel="1">
      <c r="A191" s="28"/>
      <c r="B191" s="70" t="s">
        <v>128</v>
      </c>
      <c r="G191" s="61">
        <f>$I$61</f>
        <v>1</v>
      </c>
      <c r="I191" s="75">
        <f ca="1">I$190*$G191</f>
        <v>95.014907608255299</v>
      </c>
      <c r="J191" s="75">
        <f ca="1">J$190*$G191</f>
        <v>102.95614896643335</v>
      </c>
      <c r="K191" s="75">
        <f t="shared" ref="K191:Q192" ca="1" si="68">K$190*$G191</f>
        <v>110.89739032461137</v>
      </c>
      <c r="L191" s="75">
        <f t="shared" ca="1" si="68"/>
        <v>118.83863168278941</v>
      </c>
      <c r="M191" s="187">
        <f t="shared" ca="1" si="68"/>
        <v>123.59879974909146</v>
      </c>
      <c r="N191" s="75">
        <f t="shared" ca="1" si="68"/>
        <v>123.59879974909146</v>
      </c>
      <c r="O191" s="75">
        <f t="shared" ca="1" si="68"/>
        <v>123.59879974909146</v>
      </c>
      <c r="P191" s="75">
        <f t="shared" ca="1" si="68"/>
        <v>123.59879974909146</v>
      </c>
      <c r="Q191" s="75">
        <f t="shared" ca="1" si="68"/>
        <v>123.59879974909146</v>
      </c>
      <c r="W191" s="320"/>
      <c r="X191" s="229">
        <v>10</v>
      </c>
      <c r="Y191" s="155">
        <v>0.18963076472282406</v>
      </c>
      <c r="Z191" s="155">
        <v>0.1631990849971772</v>
      </c>
      <c r="AA191" s="155">
        <v>0.14051879048347471</v>
      </c>
      <c r="AB191" s="175">
        <v>0.12075751423835754</v>
      </c>
      <c r="AC191" s="159">
        <v>0.10332530140876769</v>
      </c>
      <c r="AD191" s="156">
        <v>8.5843607783317566E-2</v>
      </c>
      <c r="AE191" s="155">
        <v>6.921426951885222E-2</v>
      </c>
      <c r="AF191" s="155">
        <v>5.4005357623100284E-2</v>
      </c>
      <c r="AG191" s="156">
        <v>4.0009143948555009E-2</v>
      </c>
    </row>
    <row r="192" spans="1:34" s="4" customFormat="1" ht="14.4" outlineLevel="1" thickBot="1">
      <c r="A192" s="28"/>
      <c r="B192" s="70" t="s">
        <v>127</v>
      </c>
      <c r="G192" s="61">
        <f>SUM(I62:I63)</f>
        <v>0</v>
      </c>
      <c r="I192" s="75">
        <f ca="1">I$190*$G192</f>
        <v>0</v>
      </c>
      <c r="J192" s="75">
        <f ca="1">J$190*$G192</f>
        <v>0</v>
      </c>
      <c r="K192" s="75">
        <f t="shared" ca="1" si="68"/>
        <v>0</v>
      </c>
      <c r="L192" s="75">
        <f t="shared" ca="1" si="68"/>
        <v>0</v>
      </c>
      <c r="M192" s="187">
        <f t="shared" ca="1" si="68"/>
        <v>0</v>
      </c>
      <c r="N192" s="75">
        <f t="shared" ca="1" si="68"/>
        <v>0</v>
      </c>
      <c r="O192" s="75">
        <f t="shared" ca="1" si="68"/>
        <v>0</v>
      </c>
      <c r="P192" s="75">
        <f t="shared" ca="1" si="68"/>
        <v>0</v>
      </c>
      <c r="Q192" s="75">
        <f t="shared" ca="1" si="68"/>
        <v>0</v>
      </c>
      <c r="W192" s="320"/>
      <c r="X192" s="149">
        <f>+X191+$J$27</f>
        <v>10.5</v>
      </c>
      <c r="Y192" s="155">
        <v>0.20273374915122985</v>
      </c>
      <c r="Z192" s="155">
        <v>0.17584390044212342</v>
      </c>
      <c r="AA192" s="155">
        <v>0.1527574598789215</v>
      </c>
      <c r="AB192" s="176">
        <v>0.1326313078403473</v>
      </c>
      <c r="AC192" s="157">
        <v>0.11486774086952209</v>
      </c>
      <c r="AD192" s="158">
        <v>9.9028652906417852E-2</v>
      </c>
      <c r="AE192" s="155">
        <v>8.2278242707252522E-2</v>
      </c>
      <c r="AF192" s="155">
        <v>6.6883501410484311E-2</v>
      </c>
      <c r="AG192" s="156">
        <v>5.2716282010078441E-2</v>
      </c>
    </row>
    <row r="193" spans="1:33" outlineLevel="1">
      <c r="I193" s="31"/>
      <c r="J193" s="31"/>
      <c r="K193" s="31"/>
      <c r="L193" s="31"/>
      <c r="M193" s="185"/>
      <c r="N193" s="31"/>
      <c r="O193" s="31"/>
      <c r="P193" s="31"/>
      <c r="Q193" s="31"/>
      <c r="W193" s="320"/>
      <c r="X193" s="149">
        <f t="shared" ref="X193:X195" si="69">+X192+$J$27</f>
        <v>11</v>
      </c>
      <c r="Y193" s="155">
        <v>0.21528907418251039</v>
      </c>
      <c r="Z193" s="155">
        <v>0.18796673417091367</v>
      </c>
      <c r="AA193" s="155">
        <v>0.16449710726737982</v>
      </c>
      <c r="AB193" s="155">
        <v>0.14402679800987242</v>
      </c>
      <c r="AC193" s="155">
        <v>0.12595075964927674</v>
      </c>
      <c r="AD193" s="155">
        <v>0.10982548594474792</v>
      </c>
      <c r="AE193" s="155">
        <v>9.4739904999732977E-2</v>
      </c>
      <c r="AF193" s="155">
        <v>7.9167905449867265E-2</v>
      </c>
      <c r="AG193" s="156">
        <v>6.4837554097175606E-2</v>
      </c>
    </row>
    <row r="194" spans="1:33" outlineLevel="1">
      <c r="B194" s="6" t="s">
        <v>129</v>
      </c>
      <c r="I194" s="31">
        <f ca="1">I188-I190</f>
        <v>0</v>
      </c>
      <c r="J194" s="31">
        <f t="shared" ref="J194:Q194" ca="1" si="70">J188-J190</f>
        <v>0</v>
      </c>
      <c r="K194" s="31">
        <f t="shared" ca="1" si="70"/>
        <v>0</v>
      </c>
      <c r="L194" s="31">
        <f t="shared" ca="1" si="70"/>
        <v>0</v>
      </c>
      <c r="M194" s="185">
        <f t="shared" ca="1" si="70"/>
        <v>3.1810732918760039</v>
      </c>
      <c r="N194" s="31">
        <f t="shared" ca="1" si="70"/>
        <v>11.122314650054022</v>
      </c>
      <c r="O194" s="31">
        <f t="shared" ca="1" si="70"/>
        <v>19.063556008232069</v>
      </c>
      <c r="P194" s="31">
        <f t="shared" ca="1" si="70"/>
        <v>27.004797366410116</v>
      </c>
      <c r="Q194" s="31">
        <f t="shared" ca="1" si="70"/>
        <v>34.946038724588135</v>
      </c>
      <c r="W194" s="320"/>
      <c r="X194" s="149">
        <f t="shared" si="69"/>
        <v>11.5</v>
      </c>
      <c r="Y194" s="155">
        <v>0.22734569907188415</v>
      </c>
      <c r="Z194" s="155">
        <v>0.19961370825767519</v>
      </c>
      <c r="AA194" s="155">
        <v>0.17578129172325133</v>
      </c>
      <c r="AB194" s="155">
        <v>0.1549852550029755</v>
      </c>
      <c r="AC194" s="155">
        <v>0.13661357760429382</v>
      </c>
      <c r="AD194" s="155">
        <v>0.12021755576133727</v>
      </c>
      <c r="AE194" s="155">
        <v>0.10545907616615297</v>
      </c>
      <c r="AF194" s="155">
        <v>9.091680943965913E-2</v>
      </c>
      <c r="AG194" s="156">
        <v>7.6430448889732355E-2</v>
      </c>
    </row>
    <row r="195" spans="1:33" s="4" customFormat="1" ht="14.4" outlineLevel="1" thickBot="1">
      <c r="A195" s="28"/>
      <c r="B195" s="70" t="s">
        <v>130</v>
      </c>
      <c r="G195" s="61">
        <f>H61</f>
        <v>0.85</v>
      </c>
      <c r="I195" s="75">
        <f ca="1">I$194*$G195</f>
        <v>0</v>
      </c>
      <c r="J195" s="75">
        <f t="shared" ref="J195:Q196" ca="1" si="71">J$194*$G195</f>
        <v>0</v>
      </c>
      <c r="K195" s="75">
        <f t="shared" ca="1" si="71"/>
        <v>0</v>
      </c>
      <c r="L195" s="75">
        <f t="shared" ca="1" si="71"/>
        <v>0</v>
      </c>
      <c r="M195" s="187">
        <f t="shared" ca="1" si="71"/>
        <v>2.7039122980946031</v>
      </c>
      <c r="N195" s="75">
        <f t="shared" ca="1" si="71"/>
        <v>9.4539674525459194</v>
      </c>
      <c r="O195" s="75">
        <f t="shared" ca="1" si="71"/>
        <v>16.20402260699726</v>
      </c>
      <c r="P195" s="75">
        <f t="shared" ca="1" si="71"/>
        <v>22.954077761448598</v>
      </c>
      <c r="Q195" s="75">
        <f t="shared" ca="1" si="71"/>
        <v>29.704132915899915</v>
      </c>
      <c r="W195" s="321"/>
      <c r="X195" s="154">
        <f t="shared" si="69"/>
        <v>12</v>
      </c>
      <c r="Y195" s="157">
        <v>0.23894608616828916</v>
      </c>
      <c r="Z195" s="157">
        <v>0.21082488894462587</v>
      </c>
      <c r="AA195" s="157">
        <v>0.18664794564247136</v>
      </c>
      <c r="AB195" s="157">
        <v>0.16554268002510078</v>
      </c>
      <c r="AC195" s="157">
        <v>0.1468904078006745</v>
      </c>
      <c r="AD195" s="157">
        <v>0.130237478017807</v>
      </c>
      <c r="AE195" s="157">
        <v>0.1152420461177826</v>
      </c>
      <c r="AF195" s="157">
        <v>0.10164049267768857</v>
      </c>
      <c r="AG195" s="158">
        <v>8.7544116377830522E-2</v>
      </c>
    </row>
    <row r="196" spans="1:33" s="4" customFormat="1" outlineLevel="1">
      <c r="A196" s="28"/>
      <c r="B196" s="70" t="s">
        <v>131</v>
      </c>
      <c r="G196" s="61">
        <f>SUM(H62:H63)</f>
        <v>0.15</v>
      </c>
      <c r="I196" s="75">
        <f ca="1">I$194*$G196</f>
        <v>0</v>
      </c>
      <c r="J196" s="75">
        <f t="shared" ca="1" si="71"/>
        <v>0</v>
      </c>
      <c r="K196" s="75">
        <f t="shared" ca="1" si="71"/>
        <v>0</v>
      </c>
      <c r="L196" s="75">
        <f t="shared" ca="1" si="71"/>
        <v>0</v>
      </c>
      <c r="M196" s="187">
        <f t="shared" ca="1" si="71"/>
        <v>0.47716099378140053</v>
      </c>
      <c r="N196" s="75">
        <f t="shared" ca="1" si="71"/>
        <v>1.6683471975081032</v>
      </c>
      <c r="O196" s="75">
        <f t="shared" ca="1" si="71"/>
        <v>2.8595334012348101</v>
      </c>
      <c r="P196" s="75">
        <f t="shared" ca="1" si="71"/>
        <v>4.0507196049615173</v>
      </c>
      <c r="Q196" s="75">
        <f t="shared" ca="1" si="71"/>
        <v>5.2419058086882204</v>
      </c>
    </row>
    <row r="197" spans="1:33" outlineLevel="1">
      <c r="I197" s="77" t="b">
        <f ca="1">ROUND(I198,4)=ROUND(I188,4)</f>
        <v>1</v>
      </c>
      <c r="J197" s="77" t="b">
        <f t="shared" ref="J197:Q197" ca="1" si="72">ROUND(J198,4)=ROUND(J188,4)</f>
        <v>1</v>
      </c>
      <c r="K197" s="77" t="b">
        <f t="shared" ca="1" si="72"/>
        <v>1</v>
      </c>
      <c r="L197" s="77" t="b">
        <f t="shared" ca="1" si="72"/>
        <v>1</v>
      </c>
      <c r="M197" s="188" t="b">
        <f t="shared" ca="1" si="72"/>
        <v>1</v>
      </c>
      <c r="N197" s="77" t="b">
        <f t="shared" ca="1" si="72"/>
        <v>1</v>
      </c>
      <c r="O197" s="77" t="b">
        <f t="shared" ca="1" si="72"/>
        <v>1</v>
      </c>
      <c r="P197" s="77" t="b">
        <f t="shared" ca="1" si="72"/>
        <v>1</v>
      </c>
      <c r="Q197" s="77" t="b">
        <f t="shared" ca="1" si="72"/>
        <v>1</v>
      </c>
    </row>
    <row r="198" spans="1:33" ht="14.4" outlineLevel="1" thickBot="1">
      <c r="B198" s="6" t="s">
        <v>132</v>
      </c>
      <c r="I198" s="31">
        <f ca="1">SUM(I194,I190)</f>
        <v>95.014907608255299</v>
      </c>
      <c r="J198" s="31">
        <f t="shared" ref="J198:Q198" ca="1" si="73">SUM(J194,J190)</f>
        <v>102.95614896643335</v>
      </c>
      <c r="K198" s="31">
        <f t="shared" ca="1" si="73"/>
        <v>110.89739032461137</v>
      </c>
      <c r="L198" s="31">
        <f t="shared" ca="1" si="73"/>
        <v>118.83863168278941</v>
      </c>
      <c r="M198" s="185">
        <f t="shared" ca="1" si="73"/>
        <v>126.77987304096746</v>
      </c>
      <c r="N198" s="31">
        <f t="shared" ca="1" si="73"/>
        <v>134.72111439914548</v>
      </c>
      <c r="O198" s="31">
        <f t="shared" ca="1" si="73"/>
        <v>142.66235575732352</v>
      </c>
      <c r="P198" s="31">
        <f t="shared" ca="1" si="73"/>
        <v>150.60359711550157</v>
      </c>
      <c r="Q198" s="31">
        <f t="shared" ca="1" si="73"/>
        <v>158.54483847367959</v>
      </c>
    </row>
    <row r="199" spans="1:33" s="4" customFormat="1" outlineLevel="1">
      <c r="A199" s="28"/>
      <c r="B199" s="70" t="s">
        <v>27</v>
      </c>
      <c r="I199" s="75">
        <f t="shared" ref="I199:Q200" ca="1" si="74">SUM(I195,I191)</f>
        <v>95.014907608255299</v>
      </c>
      <c r="J199" s="75">
        <f t="shared" ca="1" si="74"/>
        <v>102.95614896643335</v>
      </c>
      <c r="K199" s="75">
        <f t="shared" ca="1" si="74"/>
        <v>110.89739032461137</v>
      </c>
      <c r="L199" s="75">
        <f t="shared" ca="1" si="74"/>
        <v>118.83863168278941</v>
      </c>
      <c r="M199" s="187">
        <f t="shared" ca="1" si="74"/>
        <v>126.30271204718606</v>
      </c>
      <c r="N199" s="75">
        <f t="shared" ca="1" si="74"/>
        <v>133.05276720163738</v>
      </c>
      <c r="O199" s="75">
        <f t="shared" ca="1" si="74"/>
        <v>139.80282235608871</v>
      </c>
      <c r="P199" s="75">
        <f t="shared" ca="1" si="74"/>
        <v>146.55287751054004</v>
      </c>
      <c r="Q199" s="75">
        <f t="shared" ca="1" si="74"/>
        <v>153.30293266499137</v>
      </c>
      <c r="W199" s="150"/>
      <c r="X199" s="166" t="s">
        <v>268</v>
      </c>
      <c r="Y199" s="164"/>
      <c r="Z199" s="151"/>
      <c r="AA199" s="151"/>
      <c r="AB199" s="151"/>
      <c r="AC199" s="151"/>
      <c r="AD199" s="151"/>
      <c r="AE199" s="151"/>
      <c r="AF199" s="151"/>
      <c r="AG199" s="152"/>
    </row>
    <row r="200" spans="1:33" s="4" customFormat="1" outlineLevel="1">
      <c r="A200" s="28"/>
      <c r="B200" s="70" t="s">
        <v>133</v>
      </c>
      <c r="I200" s="75">
        <f t="shared" ca="1" si="74"/>
        <v>0</v>
      </c>
      <c r="J200" s="75">
        <f t="shared" ca="1" si="74"/>
        <v>0</v>
      </c>
      <c r="K200" s="75">
        <f t="shared" ca="1" si="74"/>
        <v>0</v>
      </c>
      <c r="L200" s="75">
        <f t="shared" ca="1" si="74"/>
        <v>0</v>
      </c>
      <c r="M200" s="187">
        <f t="shared" ca="1" si="74"/>
        <v>0.47716099378140053</v>
      </c>
      <c r="N200" s="75">
        <f t="shared" ca="1" si="74"/>
        <v>1.6683471975081032</v>
      </c>
      <c r="O200" s="75">
        <f t="shared" ca="1" si="74"/>
        <v>2.8595334012348101</v>
      </c>
      <c r="P200" s="75">
        <f t="shared" ca="1" si="74"/>
        <v>4.0507196049615173</v>
      </c>
      <c r="Q200" s="75">
        <f t="shared" ca="1" si="74"/>
        <v>5.2419058086882204</v>
      </c>
      <c r="W200" s="143"/>
      <c r="X200" s="35"/>
      <c r="Y200" s="165" t="s">
        <v>226</v>
      </c>
      <c r="Z200" s="144"/>
      <c r="AA200" s="144"/>
      <c r="AB200" s="144"/>
      <c r="AC200" s="144"/>
      <c r="AD200" s="144"/>
      <c r="AE200" s="144"/>
      <c r="AF200" s="144"/>
      <c r="AG200" s="145"/>
    </row>
    <row r="201" spans="1:33" outlineLevel="1">
      <c r="I201" s="31"/>
      <c r="J201" s="31"/>
      <c r="K201" s="31"/>
      <c r="L201" s="31"/>
      <c r="M201" s="185"/>
      <c r="N201" s="31"/>
      <c r="O201" s="31"/>
      <c r="P201" s="31"/>
      <c r="Q201" s="31"/>
      <c r="W201" s="143"/>
      <c r="X201" s="153">
        <f ca="1">+M213</f>
        <v>1.6354410213478623</v>
      </c>
      <c r="Y201" s="147">
        <f>+Y186</f>
        <v>8</v>
      </c>
      <c r="Z201" s="147">
        <f t="shared" ref="Z201:AG201" si="75">+Z186</f>
        <v>8.5</v>
      </c>
      <c r="AA201" s="147">
        <f t="shared" si="75"/>
        <v>9</v>
      </c>
      <c r="AB201" s="147">
        <f t="shared" si="75"/>
        <v>9.5</v>
      </c>
      <c r="AC201" s="147">
        <f t="shared" si="75"/>
        <v>10</v>
      </c>
      <c r="AD201" s="147">
        <f t="shared" si="75"/>
        <v>10.5</v>
      </c>
      <c r="AE201" s="147">
        <f t="shared" si="75"/>
        <v>11</v>
      </c>
      <c r="AF201" s="147">
        <f t="shared" si="75"/>
        <v>11.5</v>
      </c>
      <c r="AG201" s="148">
        <f t="shared" si="75"/>
        <v>12</v>
      </c>
    </row>
    <row r="202" spans="1:33" outlineLevel="1">
      <c r="B202" s="84" t="s">
        <v>139</v>
      </c>
      <c r="I202" s="31"/>
      <c r="J202" s="31"/>
      <c r="K202" s="31"/>
      <c r="L202" s="31"/>
      <c r="M202" s="185"/>
      <c r="N202" s="31"/>
      <c r="O202" s="31"/>
      <c r="P202" s="31"/>
      <c r="Q202" s="31"/>
      <c r="W202" s="320" t="s">
        <v>59</v>
      </c>
      <c r="X202" s="149">
        <f>+X187</f>
        <v>8</v>
      </c>
      <c r="Y202" s="160">
        <f t="dataTable" ref="Y202:AG210" dt2D="1" dtr="1" r1="I25" r2="I27" ca="1"/>
        <v>1.8466731695764182</v>
      </c>
      <c r="Z202" s="160">
        <v>1.6567319363628745</v>
      </c>
      <c r="AA202" s="160">
        <v>1.4904583598193939</v>
      </c>
      <c r="AB202" s="160">
        <v>1.347946029158134</v>
      </c>
      <c r="AC202" s="160">
        <v>1.2303083205692718</v>
      </c>
      <c r="AD202" s="160">
        <v>1.1315554155240295</v>
      </c>
      <c r="AE202" s="160">
        <v>1.0474777354675613</v>
      </c>
      <c r="AF202" s="160">
        <v>0.9750303019211265</v>
      </c>
      <c r="AG202" s="161">
        <v>0.91195604932049701</v>
      </c>
    </row>
    <row r="203" spans="1:33" outlineLevel="1">
      <c r="B203" s="73" t="s">
        <v>142</v>
      </c>
      <c r="G203" s="85">
        <f ca="1">-O72</f>
        <v>-77.228533709575558</v>
      </c>
      <c r="H203" s="86">
        <f>I28</f>
        <v>46203</v>
      </c>
      <c r="I203" s="31">
        <f ca="1">$G203</f>
        <v>-77.228533709575558</v>
      </c>
      <c r="J203" s="31">
        <f t="shared" ref="J203:Q203" ca="1" si="76">$G203</f>
        <v>-77.228533709575558</v>
      </c>
      <c r="K203" s="31">
        <f t="shared" ca="1" si="76"/>
        <v>-77.228533709575558</v>
      </c>
      <c r="L203" s="31">
        <f t="shared" ca="1" si="76"/>
        <v>-77.228533709575558</v>
      </c>
      <c r="M203" s="185">
        <f t="shared" ca="1" si="76"/>
        <v>-77.228533709575558</v>
      </c>
      <c r="N203" s="31">
        <f t="shared" ca="1" si="76"/>
        <v>-77.228533709575558</v>
      </c>
      <c r="O203" s="31">
        <f t="shared" ca="1" si="76"/>
        <v>-77.228533709575558</v>
      </c>
      <c r="P203" s="31">
        <f t="shared" ca="1" si="76"/>
        <v>-77.228533709575558</v>
      </c>
      <c r="Q203" s="31">
        <f t="shared" ca="1" si="76"/>
        <v>-77.228533709575558</v>
      </c>
      <c r="W203" s="320"/>
      <c r="X203" s="149">
        <f t="shared" ref="X203:X210" si="77">+X188</f>
        <v>8.5</v>
      </c>
      <c r="Y203" s="160">
        <v>1.9809517633017149</v>
      </c>
      <c r="Z203" s="160">
        <v>1.7751354509580863</v>
      </c>
      <c r="AA203" s="160">
        <v>1.61283922283996</v>
      </c>
      <c r="AB203" s="160">
        <v>1.4606058740687491</v>
      </c>
      <c r="AC203" s="160">
        <v>1.3331361353254312</v>
      </c>
      <c r="AD203" s="160">
        <v>1.2261295712120894</v>
      </c>
      <c r="AE203" s="160">
        <v>1.1350247712333779</v>
      </c>
      <c r="AF203" s="160">
        <v>1.0565222609620901</v>
      </c>
      <c r="AG203" s="161">
        <v>0.98817633177936637</v>
      </c>
    </row>
    <row r="204" spans="1:33" ht="14.4" outlineLevel="2" thickBot="1">
      <c r="B204" s="73" t="s">
        <v>183</v>
      </c>
      <c r="G204" s="85"/>
      <c r="H204" s="86">
        <f>K303</f>
        <v>46387</v>
      </c>
      <c r="I204" s="31">
        <f t="shared" ref="I204:Q209" ca="1" si="78">-INDEX($K$306:$R$306,MATCH($H204,$K$303:$R$303,))</f>
        <v>0</v>
      </c>
      <c r="J204" s="31">
        <f t="shared" ca="1" si="78"/>
        <v>0</v>
      </c>
      <c r="K204" s="31">
        <f t="shared" ca="1" si="78"/>
        <v>0</v>
      </c>
      <c r="L204" s="31">
        <f t="shared" ca="1" si="78"/>
        <v>0</v>
      </c>
      <c r="M204" s="185">
        <f t="shared" ca="1" si="78"/>
        <v>0</v>
      </c>
      <c r="N204" s="31">
        <f t="shared" ca="1" si="78"/>
        <v>0</v>
      </c>
      <c r="O204" s="31">
        <f t="shared" ca="1" si="78"/>
        <v>0</v>
      </c>
      <c r="P204" s="31">
        <f t="shared" ca="1" si="78"/>
        <v>0</v>
      </c>
      <c r="Q204" s="31">
        <f t="shared" ca="1" si="78"/>
        <v>0</v>
      </c>
      <c r="W204" s="320"/>
      <c r="X204" s="149">
        <f t="shared" si="77"/>
        <v>9</v>
      </c>
      <c r="Y204" s="160">
        <v>2.115230357027011</v>
      </c>
      <c r="Z204" s="160">
        <v>1.8935389655532979</v>
      </c>
      <c r="AA204" s="160">
        <v>1.7187244611403953</v>
      </c>
      <c r="AB204" s="160">
        <v>1.5732657189793635</v>
      </c>
      <c r="AC204" s="160">
        <v>1.4359639500815902</v>
      </c>
      <c r="AD204" s="160">
        <v>1.3207037269001489</v>
      </c>
      <c r="AE204" s="160">
        <v>1.2225718069991942</v>
      </c>
      <c r="AF204" s="160">
        <v>1.1380142200030532</v>
      </c>
      <c r="AG204" s="161">
        <v>1.0643966142382353</v>
      </c>
    </row>
    <row r="205" spans="1:33" outlineLevel="2">
      <c r="B205" s="73" t="s">
        <v>183</v>
      </c>
      <c r="G205" s="85"/>
      <c r="H205" s="86">
        <f>+L303</f>
        <v>46752</v>
      </c>
      <c r="I205" s="31">
        <f t="shared" ca="1" si="78"/>
        <v>0</v>
      </c>
      <c r="J205" s="31">
        <f t="shared" ca="1" si="78"/>
        <v>0</v>
      </c>
      <c r="K205" s="31">
        <f t="shared" ca="1" si="78"/>
        <v>0</v>
      </c>
      <c r="L205" s="31">
        <f t="shared" ca="1" si="78"/>
        <v>0</v>
      </c>
      <c r="M205" s="185">
        <f t="shared" ca="1" si="78"/>
        <v>0</v>
      </c>
      <c r="N205" s="31">
        <f t="shared" ca="1" si="78"/>
        <v>0</v>
      </c>
      <c r="O205" s="31">
        <f t="shared" ca="1" si="78"/>
        <v>0</v>
      </c>
      <c r="P205" s="31">
        <f t="shared" ca="1" si="78"/>
        <v>0</v>
      </c>
      <c r="Q205" s="31">
        <f t="shared" ca="1" si="78"/>
        <v>0</v>
      </c>
      <c r="W205" s="320"/>
      <c r="X205" s="149">
        <f t="shared" si="77"/>
        <v>9.5</v>
      </c>
      <c r="Y205" s="160">
        <v>2.2495089507523076</v>
      </c>
      <c r="Z205" s="160">
        <v>2.0119424801485102</v>
      </c>
      <c r="AA205" s="160">
        <v>1.8246096994408312</v>
      </c>
      <c r="AB205" s="167">
        <v>1.6731011079995211</v>
      </c>
      <c r="AC205" s="168">
        <v>1.5387917648377496</v>
      </c>
      <c r="AD205" s="169">
        <v>1.4152778825882089</v>
      </c>
      <c r="AE205" s="160">
        <v>1.3101188427650106</v>
      </c>
      <c r="AF205" s="160">
        <v>1.2195061790440169</v>
      </c>
      <c r="AG205" s="161">
        <v>1.1406168966971046</v>
      </c>
    </row>
    <row r="206" spans="1:33" outlineLevel="2">
      <c r="B206" s="73" t="s">
        <v>183</v>
      </c>
      <c r="G206" s="85"/>
      <c r="H206" s="86">
        <f>+M303</f>
        <v>47118</v>
      </c>
      <c r="I206" s="31">
        <f t="shared" ca="1" si="78"/>
        <v>0</v>
      </c>
      <c r="J206" s="31">
        <f t="shared" ca="1" si="78"/>
        <v>0</v>
      </c>
      <c r="K206" s="31">
        <f t="shared" ca="1" si="78"/>
        <v>0</v>
      </c>
      <c r="L206" s="31">
        <f t="shared" ca="1" si="78"/>
        <v>0</v>
      </c>
      <c r="M206" s="185">
        <f t="shared" ca="1" si="78"/>
        <v>0</v>
      </c>
      <c r="N206" s="31">
        <f t="shared" ca="1" si="78"/>
        <v>0</v>
      </c>
      <c r="O206" s="31">
        <f t="shared" ca="1" si="78"/>
        <v>0</v>
      </c>
      <c r="P206" s="31">
        <f t="shared" ca="1" si="78"/>
        <v>0</v>
      </c>
      <c r="Q206" s="31">
        <f t="shared" ca="1" si="78"/>
        <v>0</v>
      </c>
      <c r="W206" s="320"/>
      <c r="X206" s="149">
        <f t="shared" si="77"/>
        <v>10</v>
      </c>
      <c r="Y206" s="160">
        <v>2.3837875444776047</v>
      </c>
      <c r="Z206" s="160">
        <v>2.1303459947437218</v>
      </c>
      <c r="AA206" s="160">
        <v>1.9304949377412666</v>
      </c>
      <c r="AB206" s="170">
        <v>1.7688619761735438</v>
      </c>
      <c r="AC206" s="123">
        <v>1.6354410213478623</v>
      </c>
      <c r="AD206" s="161">
        <v>1.5098520382762688</v>
      </c>
      <c r="AE206" s="160">
        <v>1.3976658785308271</v>
      </c>
      <c r="AF206" s="160">
        <v>1.3009981380849804</v>
      </c>
      <c r="AG206" s="161">
        <v>1.216837179155974</v>
      </c>
    </row>
    <row r="207" spans="1:33" ht="14.4" outlineLevel="2" thickBot="1">
      <c r="B207" s="73" t="s">
        <v>183</v>
      </c>
      <c r="G207" s="85"/>
      <c r="H207" s="86">
        <f>+N303</f>
        <v>47483</v>
      </c>
      <c r="I207" s="31">
        <f t="shared" ca="1" si="78"/>
        <v>0</v>
      </c>
      <c r="J207" s="31">
        <f t="shared" ca="1" si="78"/>
        <v>0</v>
      </c>
      <c r="K207" s="31">
        <f t="shared" ca="1" si="78"/>
        <v>0</v>
      </c>
      <c r="L207" s="31">
        <f t="shared" ca="1" si="78"/>
        <v>0</v>
      </c>
      <c r="M207" s="185">
        <f t="shared" ca="1" si="78"/>
        <v>0</v>
      </c>
      <c r="N207" s="31">
        <f t="shared" ca="1" si="78"/>
        <v>0</v>
      </c>
      <c r="O207" s="31">
        <f t="shared" ca="1" si="78"/>
        <v>0</v>
      </c>
      <c r="P207" s="31">
        <f t="shared" ca="1" si="78"/>
        <v>0</v>
      </c>
      <c r="Q207" s="31">
        <f t="shared" ca="1" si="78"/>
        <v>0</v>
      </c>
      <c r="W207" s="320"/>
      <c r="X207" s="149">
        <f t="shared" si="77"/>
        <v>10.5</v>
      </c>
      <c r="Y207" s="160">
        <v>2.5180661382029004</v>
      </c>
      <c r="Z207" s="160">
        <v>2.2487495093389338</v>
      </c>
      <c r="AA207" s="160">
        <v>2.036380176041702</v>
      </c>
      <c r="AB207" s="171">
        <v>1.8646228443475661</v>
      </c>
      <c r="AC207" s="162">
        <v>1.7228446638905974</v>
      </c>
      <c r="AD207" s="163">
        <v>1.6038266435627186</v>
      </c>
      <c r="AE207" s="160">
        <v>1.4852129142966435</v>
      </c>
      <c r="AF207" s="160">
        <v>1.3824900971259437</v>
      </c>
      <c r="AG207" s="161">
        <v>1.2930574616148431</v>
      </c>
    </row>
    <row r="208" spans="1:33" outlineLevel="2">
      <c r="B208" s="73" t="s">
        <v>183</v>
      </c>
      <c r="G208" s="85"/>
      <c r="H208" s="86">
        <f>+O303</f>
        <v>47848</v>
      </c>
      <c r="I208" s="31">
        <f t="shared" ca="1" si="78"/>
        <v>0</v>
      </c>
      <c r="J208" s="31">
        <f t="shared" ca="1" si="78"/>
        <v>0</v>
      </c>
      <c r="K208" s="31">
        <f t="shared" ca="1" si="78"/>
        <v>0</v>
      </c>
      <c r="L208" s="31">
        <f t="shared" ca="1" si="78"/>
        <v>0</v>
      </c>
      <c r="M208" s="185">
        <f t="shared" ca="1" si="78"/>
        <v>0</v>
      </c>
      <c r="N208" s="31">
        <f t="shared" ca="1" si="78"/>
        <v>0</v>
      </c>
      <c r="O208" s="31">
        <f t="shared" ca="1" si="78"/>
        <v>0</v>
      </c>
      <c r="P208" s="31">
        <f t="shared" ca="1" si="78"/>
        <v>0</v>
      </c>
      <c r="Q208" s="31">
        <f t="shared" ca="1" si="78"/>
        <v>0</v>
      </c>
      <c r="W208" s="320"/>
      <c r="X208" s="149">
        <f t="shared" si="77"/>
        <v>11</v>
      </c>
      <c r="Y208" s="160">
        <v>2.652344731928197</v>
      </c>
      <c r="Z208" s="160">
        <v>2.3671530239341458</v>
      </c>
      <c r="AA208" s="160">
        <v>2.1422654143421376</v>
      </c>
      <c r="AB208" s="160">
        <v>1.9603837125215891</v>
      </c>
      <c r="AC208" s="160">
        <v>1.8102483064333328</v>
      </c>
      <c r="AD208" s="160">
        <v>1.6842146758975698</v>
      </c>
      <c r="AE208" s="160">
        <v>1.5727599500624601</v>
      </c>
      <c r="AF208" s="160">
        <v>1.4639820561669072</v>
      </c>
      <c r="AG208" s="161">
        <v>1.3692777440737123</v>
      </c>
    </row>
    <row r="209" spans="1:33" outlineLevel="2" collapsed="1">
      <c r="B209" s="73" t="s">
        <v>183</v>
      </c>
      <c r="G209" s="85"/>
      <c r="H209" s="86">
        <f>+R303</f>
        <v>48029</v>
      </c>
      <c r="I209" s="31">
        <f t="shared" ca="1" si="78"/>
        <v>0</v>
      </c>
      <c r="J209" s="31">
        <f t="shared" ca="1" si="78"/>
        <v>0</v>
      </c>
      <c r="K209" s="31">
        <f t="shared" ca="1" si="78"/>
        <v>0</v>
      </c>
      <c r="L209" s="31">
        <f t="shared" ca="1" si="78"/>
        <v>0</v>
      </c>
      <c r="M209" s="185">
        <f t="shared" ca="1" si="78"/>
        <v>0</v>
      </c>
      <c r="N209" s="31">
        <f t="shared" ca="1" si="78"/>
        <v>0</v>
      </c>
      <c r="O209" s="31">
        <f t="shared" ca="1" si="78"/>
        <v>0</v>
      </c>
      <c r="P209" s="31">
        <f t="shared" ca="1" si="78"/>
        <v>0</v>
      </c>
      <c r="Q209" s="31">
        <f t="shared" ca="1" si="78"/>
        <v>0</v>
      </c>
      <c r="W209" s="320"/>
      <c r="X209" s="149">
        <f t="shared" si="77"/>
        <v>11.5</v>
      </c>
      <c r="Y209" s="160">
        <v>2.786623325653494</v>
      </c>
      <c r="Z209" s="160">
        <v>2.4855565385293574</v>
      </c>
      <c r="AA209" s="160">
        <v>2.2481506526425732</v>
      </c>
      <c r="AB209" s="160">
        <v>2.0561445806956113</v>
      </c>
      <c r="AC209" s="160">
        <v>1.8976519489760681</v>
      </c>
      <c r="AD209" s="160">
        <v>1.7646027082324207</v>
      </c>
      <c r="AE209" s="160">
        <v>1.6513253166470749</v>
      </c>
      <c r="AF209" s="160">
        <v>1.5454740152078708</v>
      </c>
      <c r="AG209" s="161">
        <v>1.4454980265325816</v>
      </c>
    </row>
    <row r="210" spans="1:33" ht="14.4" outlineLevel="1" thickBot="1">
      <c r="B210" s="73" t="s">
        <v>134</v>
      </c>
      <c r="H210" s="86">
        <f>I31</f>
        <v>48029</v>
      </c>
      <c r="I210" s="31">
        <f t="shared" ref="I210:Q210" ca="1" si="79">I199</f>
        <v>95.014907608255299</v>
      </c>
      <c r="J210" s="31">
        <f t="shared" ca="1" si="79"/>
        <v>102.95614896643335</v>
      </c>
      <c r="K210" s="31">
        <f t="shared" ca="1" si="79"/>
        <v>110.89739032461137</v>
      </c>
      <c r="L210" s="31">
        <f t="shared" ca="1" si="79"/>
        <v>118.83863168278941</v>
      </c>
      <c r="M210" s="185">
        <f t="shared" ca="1" si="79"/>
        <v>126.30271204718606</v>
      </c>
      <c r="N210" s="31">
        <f t="shared" ca="1" si="79"/>
        <v>133.05276720163738</v>
      </c>
      <c r="O210" s="31">
        <f t="shared" ca="1" si="79"/>
        <v>139.80282235608871</v>
      </c>
      <c r="P210" s="31">
        <f t="shared" ca="1" si="79"/>
        <v>146.55287751054004</v>
      </c>
      <c r="Q210" s="31">
        <f t="shared" ca="1" si="79"/>
        <v>153.30293266499137</v>
      </c>
      <c r="W210" s="321"/>
      <c r="X210" s="154">
        <f t="shared" si="77"/>
        <v>12</v>
      </c>
      <c r="Y210" s="162">
        <v>2.9209019193787902</v>
      </c>
      <c r="Z210" s="162">
        <v>2.6039600531245695</v>
      </c>
      <c r="AA210" s="162">
        <v>2.3540358909430084</v>
      </c>
      <c r="AB210" s="162">
        <v>2.1519054488696336</v>
      </c>
      <c r="AC210" s="162">
        <v>1.9850555915188035</v>
      </c>
      <c r="AD210" s="162">
        <v>1.8449907405672712</v>
      </c>
      <c r="AE210" s="162">
        <v>1.7257402970480185</v>
      </c>
      <c r="AF210" s="162">
        <v>1.6229854568045485</v>
      </c>
      <c r="AG210" s="163">
        <v>1.5217183089914508</v>
      </c>
    </row>
    <row r="211" spans="1:33" outlineLevel="1">
      <c r="I211" s="31"/>
      <c r="J211" s="31"/>
      <c r="K211" s="31"/>
      <c r="L211" s="31"/>
      <c r="M211" s="185"/>
      <c r="N211" s="31"/>
      <c r="O211" s="31"/>
      <c r="P211" s="31"/>
      <c r="Q211" s="31"/>
    </row>
    <row r="212" spans="1:33" outlineLevel="1">
      <c r="B212" s="87" t="s">
        <v>28</v>
      </c>
      <c r="C212" s="88"/>
      <c r="D212" s="88"/>
      <c r="E212" s="88"/>
      <c r="F212" s="88"/>
      <c r="G212" s="88"/>
      <c r="H212" s="88"/>
      <c r="I212" s="89">
        <f t="shared" ref="I212:Q212" ca="1" si="80">+XIRR(I203:I210,$H203:$H210)</f>
        <v>4.2300471663475031E-2</v>
      </c>
      <c r="J212" s="89">
        <f t="shared" ca="1" si="80"/>
        <v>5.9159150719642645E-2</v>
      </c>
      <c r="K212" s="89">
        <f t="shared" ca="1" si="80"/>
        <v>7.5007501244545E-2</v>
      </c>
      <c r="L212" s="89">
        <f t="shared" ca="1" si="80"/>
        <v>8.9972320199012773E-2</v>
      </c>
      <c r="M212" s="189">
        <f t="shared" ca="1" si="80"/>
        <v>0.10332530140876769</v>
      </c>
      <c r="N212" s="89">
        <f t="shared" ca="1" si="80"/>
        <v>0.11486774086952209</v>
      </c>
      <c r="O212" s="89">
        <f t="shared" ca="1" si="80"/>
        <v>0.12595075964927674</v>
      </c>
      <c r="P212" s="89">
        <f t="shared" ca="1" si="80"/>
        <v>0.13661357760429382</v>
      </c>
      <c r="Q212" s="90">
        <f t="shared" ca="1" si="80"/>
        <v>0.1468904078006745</v>
      </c>
    </row>
    <row r="213" spans="1:33" outlineLevel="1">
      <c r="B213" s="91" t="s">
        <v>29</v>
      </c>
      <c r="C213" s="92"/>
      <c r="D213" s="92"/>
      <c r="E213" s="92"/>
      <c r="F213" s="92"/>
      <c r="G213" s="92"/>
      <c r="H213" s="92"/>
      <c r="I213" s="93">
        <f t="shared" ref="I213:Q213" ca="1" si="81">-I210/I203</f>
        <v>1.2303083205692718</v>
      </c>
      <c r="J213" s="93">
        <f t="shared" ca="1" si="81"/>
        <v>1.3331361353254312</v>
      </c>
      <c r="K213" s="93">
        <f t="shared" ca="1" si="81"/>
        <v>1.4359639500815902</v>
      </c>
      <c r="L213" s="93">
        <f t="shared" ca="1" si="81"/>
        <v>1.5387917648377496</v>
      </c>
      <c r="M213" s="190">
        <f t="shared" ca="1" si="81"/>
        <v>1.6354410213478623</v>
      </c>
      <c r="N213" s="93">
        <f t="shared" ca="1" si="81"/>
        <v>1.7228446638905974</v>
      </c>
      <c r="O213" s="93">
        <f t="shared" ca="1" si="81"/>
        <v>1.8102483064333328</v>
      </c>
      <c r="P213" s="93">
        <f t="shared" ca="1" si="81"/>
        <v>1.8976519489760681</v>
      </c>
      <c r="Q213" s="94">
        <f t="shared" ca="1" si="81"/>
        <v>1.9850555915188035</v>
      </c>
    </row>
    <row r="214" spans="1:33" outlineLevel="1">
      <c r="I214" s="76" t="b">
        <f t="shared" ref="I214:Q214" ca="1" si="82">INDEX($AC$187:$AC$195,MATCH(I184,$X$187:$X$195,0))=I212</f>
        <v>1</v>
      </c>
      <c r="J214" s="76" t="b">
        <f t="shared" ca="1" si="82"/>
        <v>1</v>
      </c>
      <c r="K214" s="76" t="b">
        <f t="shared" ca="1" si="82"/>
        <v>1</v>
      </c>
      <c r="L214" s="76" t="b">
        <f t="shared" ca="1" si="82"/>
        <v>1</v>
      </c>
      <c r="M214" s="76" t="b">
        <f t="shared" ca="1" si="82"/>
        <v>1</v>
      </c>
      <c r="N214" s="76" t="b">
        <f t="shared" ca="1" si="82"/>
        <v>1</v>
      </c>
      <c r="O214" s="76" t="b">
        <f t="shared" ca="1" si="82"/>
        <v>1</v>
      </c>
      <c r="P214" s="76" t="b">
        <f t="shared" ca="1" si="82"/>
        <v>1</v>
      </c>
      <c r="Q214" s="76" t="b">
        <f t="shared" ca="1" si="82"/>
        <v>1</v>
      </c>
    </row>
    <row r="215" spans="1:33">
      <c r="I215" s="31"/>
      <c r="J215" s="31"/>
      <c r="K215" s="31"/>
      <c r="L215" s="31"/>
      <c r="M215" s="31"/>
      <c r="N215" s="31"/>
      <c r="O215" s="31"/>
      <c r="P215" s="31"/>
      <c r="Q215" s="31"/>
    </row>
    <row r="216" spans="1:33" s="35" customFormat="1">
      <c r="A216" s="2" t="s">
        <v>106</v>
      </c>
    </row>
    <row r="217" spans="1:33" outlineLevel="1">
      <c r="I217" s="31"/>
      <c r="J217" s="31"/>
      <c r="K217" s="31"/>
      <c r="L217" s="31"/>
      <c r="M217" s="31"/>
      <c r="N217" s="31"/>
      <c r="O217" s="31"/>
      <c r="P217" s="31"/>
      <c r="Q217" s="31"/>
    </row>
    <row r="218" spans="1:33" outlineLevel="1">
      <c r="I218" s="31"/>
      <c r="J218" s="31"/>
      <c r="K218" s="69">
        <f>+L151</f>
        <v>46203</v>
      </c>
      <c r="L218" s="69"/>
      <c r="M218" s="69"/>
      <c r="N218" s="69"/>
      <c r="O218" s="69"/>
      <c r="P218" s="69"/>
      <c r="Q218" s="69"/>
    </row>
    <row r="219" spans="1:33" outlineLevel="1">
      <c r="B219" s="5" t="s">
        <v>165</v>
      </c>
      <c r="H219" s="3" t="s">
        <v>166</v>
      </c>
      <c r="I219" s="31"/>
      <c r="J219" s="31"/>
      <c r="K219" s="69">
        <f>+L152</f>
        <v>46387</v>
      </c>
      <c r="L219" s="69">
        <f>+EOMONTH(K219,12)</f>
        <v>46752</v>
      </c>
      <c r="M219" s="69">
        <f t="shared" ref="M219:U219" si="83">+EOMONTH(L219,12)</f>
        <v>47118</v>
      </c>
      <c r="N219" s="69">
        <f t="shared" si="83"/>
        <v>47483</v>
      </c>
      <c r="O219" s="69">
        <f t="shared" si="83"/>
        <v>47848</v>
      </c>
      <c r="P219" s="69">
        <f t="shared" si="83"/>
        <v>48213</v>
      </c>
      <c r="Q219" s="69">
        <f t="shared" si="83"/>
        <v>48579</v>
      </c>
      <c r="R219" s="69">
        <f t="shared" si="83"/>
        <v>48944</v>
      </c>
      <c r="S219" s="69">
        <f t="shared" si="83"/>
        <v>49309</v>
      </c>
      <c r="T219" s="69">
        <f t="shared" si="83"/>
        <v>49674</v>
      </c>
      <c r="U219" s="69">
        <f t="shared" si="83"/>
        <v>50040</v>
      </c>
      <c r="V219" s="69"/>
      <c r="W219" s="69"/>
      <c r="X219" s="69"/>
    </row>
    <row r="220" spans="1:33" outlineLevel="1">
      <c r="C220" s="6" t="s">
        <v>164</v>
      </c>
      <c r="H220" s="32">
        <f>+H49</f>
        <v>0</v>
      </c>
      <c r="I220" s="31"/>
      <c r="J220" s="31"/>
      <c r="K220" s="101">
        <f>MAX($H$220,+AVERAGEIFS(GBPSONIA!$C$10:$C$130,GBPSONIA!$B$10:$B$130,"&gt;="&amp;K218,GBPSONIA!$B$10:$B$130,"&lt;"&amp;K219))</f>
        <v>4.0617783333333331E-2</v>
      </c>
      <c r="L220" s="101">
        <f>MAX($H$220,AVERAGEIFS(GBPSONIA!$C$10:$C$130,GBPSONIA!$B$10:$B$130,"&gt;="&amp;K219,GBPSONIA!$B$10:$B$130,"&lt;"&amp;L219))</f>
        <v>4.0366608333333338E-2</v>
      </c>
      <c r="M220" s="101">
        <f>MAX($H$220,AVERAGEIFS(GBPSONIA!$C$10:$C$130,GBPSONIA!$B$10:$B$130,"&gt;="&amp;K219,GBPSONIA!$B$10:$B$130,"&lt;"&amp;M219))</f>
        <v>3.9898775000000004E-2</v>
      </c>
      <c r="N220" s="101">
        <f>MAX($H$220,AVERAGEIFS(GBPSONIA!$C$10:$C$130,GBPSONIA!$B$10:$B$130,"&gt;="&amp;M219,GBPSONIA!$B$10:$B$130,"&lt;"&amp;N219))</f>
        <v>3.9858483333333333E-2</v>
      </c>
      <c r="O220" s="101">
        <f>MAX($H$220,AVERAGEIFS(GBPSONIA!$C$10:$C$130,GBPSONIA!$B$10:$B$130,"&gt;="&amp;N219,GBPSONIA!$B$10:$B$130,"&lt;"&amp;O219))</f>
        <v>4.1082500000000001E-2</v>
      </c>
      <c r="P220" s="101">
        <f>MAX($H$220,AVERAGEIFS(GBPSONIA!$C$10:$C$130,GBPSONIA!$B$10:$B$130,"&gt;="&amp;O219,GBPSONIA!$B$10:$B$130,"&lt;"&amp;P219))</f>
        <v>4.2530049999999993E-2</v>
      </c>
      <c r="Q220" s="101">
        <f>MAX($H$220,AVERAGEIFS(GBPSONIA!$C$10:$C$130,GBPSONIA!$B$10:$B$130,"&gt;="&amp;P219,GBPSONIA!$B$10:$B$130,"&lt;"&amp;Q219))</f>
        <v>4.4139991666666656E-2</v>
      </c>
      <c r="R220" s="101">
        <f>MAX($H$220,AVERAGEIFS(GBPSONIA!$C$10:$C$130,GBPSONIA!$B$10:$B$130,"&gt;="&amp;Q219,GBPSONIA!$B$10:$B$130,"&lt;"&amp;R219))</f>
        <v>4.5890691666666671E-2</v>
      </c>
      <c r="S220" s="101">
        <f>MAX($H$220,AVERAGEIFS(GBPSONIA!$C$10:$C$130,GBPSONIA!$B$10:$B$130,"&gt;="&amp;R219,GBPSONIA!$B$10:$B$130,"&lt;"&amp;S219))</f>
        <v>4.7506316666666666E-2</v>
      </c>
      <c r="T220" s="101">
        <f>MAX($H$220,AVERAGEIFS(GBPSONIA!$C$10:$C$130,GBPSONIA!$B$10:$B$130,"&gt;="&amp;S219,GBPSONIA!$B$10:$B$130,"&lt;"&amp;T219))</f>
        <v>4.8868925000000001E-2</v>
      </c>
      <c r="U220" s="101">
        <f>MAX($H$220,AVERAGEIFS(GBPSONIA!$C$10:$C$130,GBPSONIA!$B$10:$B$130,"&gt;="&amp;T219,GBPSONIA!$B$10:$B$130,"&lt;"&amp;U219))</f>
        <v>4.9646824999999999E-2</v>
      </c>
      <c r="V220" s="101"/>
      <c r="W220" s="101"/>
      <c r="X220" s="101"/>
    </row>
    <row r="221" spans="1:33" outlineLevel="1">
      <c r="A221" s="76" t="b">
        <f>K221</f>
        <v>1</v>
      </c>
      <c r="I221" s="31"/>
      <c r="J221" s="31"/>
      <c r="K221" s="77" t="b">
        <f>K220=I41</f>
        <v>1</v>
      </c>
      <c r="L221" s="77"/>
      <c r="M221" s="31"/>
      <c r="N221" s="31"/>
      <c r="O221" s="31"/>
      <c r="P221" s="31"/>
      <c r="Q221" s="31"/>
    </row>
    <row r="222" spans="1:33" outlineLevel="1">
      <c r="B222" s="5" t="s">
        <v>168</v>
      </c>
      <c r="C222" s="5"/>
      <c r="D222" s="5"/>
      <c r="E222" s="5"/>
      <c r="F222" s="3" t="s">
        <v>169</v>
      </c>
      <c r="G222" s="3" t="s">
        <v>9</v>
      </c>
      <c r="H222" s="3" t="s">
        <v>78</v>
      </c>
      <c r="I222" s="31"/>
      <c r="J222" s="31"/>
      <c r="K222" s="31"/>
      <c r="L222" s="31"/>
      <c r="M222" s="31"/>
      <c r="N222" s="31"/>
      <c r="O222" s="31"/>
      <c r="P222" s="31"/>
      <c r="Q222" s="31"/>
    </row>
    <row r="223" spans="1:33" outlineLevel="1">
      <c r="C223" s="6" t="s">
        <v>6</v>
      </c>
      <c r="F223" s="103">
        <f>+I44</f>
        <v>0</v>
      </c>
      <c r="G223" s="103">
        <f>+H44</f>
        <v>0</v>
      </c>
      <c r="H223" s="107">
        <f>+K44</f>
        <v>1</v>
      </c>
      <c r="I223" s="31"/>
      <c r="J223" s="31"/>
      <c r="K223" s="101">
        <f t="shared" ref="K223:L226" si="84">IF($H223=0,(K$220+$G223),($F223+$G223))</f>
        <v>0</v>
      </c>
      <c r="L223" s="101">
        <f t="shared" si="84"/>
        <v>0</v>
      </c>
      <c r="M223" s="101">
        <f t="shared" ref="M223:U226" si="85">IF($H223=0,(M$220+$G223),($F223+$G223))</f>
        <v>0</v>
      </c>
      <c r="N223" s="101">
        <f t="shared" si="85"/>
        <v>0</v>
      </c>
      <c r="O223" s="101">
        <f t="shared" si="85"/>
        <v>0</v>
      </c>
      <c r="P223" s="101">
        <f t="shared" si="85"/>
        <v>0</v>
      </c>
      <c r="Q223" s="101">
        <f t="shared" si="85"/>
        <v>0</v>
      </c>
      <c r="R223" s="101">
        <f t="shared" si="85"/>
        <v>0</v>
      </c>
      <c r="S223" s="101">
        <f t="shared" si="85"/>
        <v>0</v>
      </c>
      <c r="T223" s="101">
        <f t="shared" si="85"/>
        <v>0</v>
      </c>
      <c r="U223" s="101">
        <f t="shared" si="85"/>
        <v>0</v>
      </c>
      <c r="V223" s="101"/>
    </row>
    <row r="224" spans="1:33" outlineLevel="1">
      <c r="C224" s="6" t="s">
        <v>88</v>
      </c>
      <c r="F224" s="103">
        <f>+I45</f>
        <v>4.0617783333333331E-2</v>
      </c>
      <c r="G224" s="103">
        <f>+H45</f>
        <v>0.05</v>
      </c>
      <c r="H224" s="107">
        <f>+K45</f>
        <v>0</v>
      </c>
      <c r="I224" s="31"/>
      <c r="J224" s="31"/>
      <c r="K224" s="101">
        <f t="shared" si="84"/>
        <v>9.061778333333334E-2</v>
      </c>
      <c r="L224" s="101">
        <f t="shared" si="84"/>
        <v>9.0366608333333348E-2</v>
      </c>
      <c r="M224" s="101">
        <f t="shared" si="85"/>
        <v>8.9898775000000014E-2</v>
      </c>
      <c r="N224" s="101">
        <f t="shared" si="85"/>
        <v>8.9858483333333336E-2</v>
      </c>
      <c r="O224" s="101">
        <f t="shared" si="85"/>
        <v>9.1082500000000011E-2</v>
      </c>
      <c r="P224" s="101">
        <f t="shared" si="85"/>
        <v>9.2530050000000003E-2</v>
      </c>
      <c r="Q224" s="101">
        <f t="shared" si="85"/>
        <v>9.4139991666666659E-2</v>
      </c>
      <c r="R224" s="101">
        <f t="shared" si="85"/>
        <v>9.5890691666666666E-2</v>
      </c>
      <c r="S224" s="101">
        <f t="shared" si="85"/>
        <v>9.7506316666666676E-2</v>
      </c>
      <c r="T224" s="101">
        <f t="shared" si="85"/>
        <v>9.8868924999999996E-2</v>
      </c>
      <c r="U224" s="101">
        <f t="shared" si="85"/>
        <v>9.9646824999999994E-2</v>
      </c>
      <c r="V224" s="101"/>
    </row>
    <row r="225" spans="1:23" outlineLevel="1">
      <c r="C225" s="6" t="s">
        <v>56</v>
      </c>
      <c r="F225" s="103">
        <f>+I46</f>
        <v>4.0617783333333331E-2</v>
      </c>
      <c r="G225" s="103">
        <f>+H46</f>
        <v>0.05</v>
      </c>
      <c r="H225" s="107">
        <f>+K46</f>
        <v>0</v>
      </c>
      <c r="I225" s="31"/>
      <c r="J225" s="31"/>
      <c r="K225" s="101">
        <f t="shared" si="84"/>
        <v>9.061778333333334E-2</v>
      </c>
      <c r="L225" s="101">
        <f t="shared" si="84"/>
        <v>9.0366608333333348E-2</v>
      </c>
      <c r="M225" s="101">
        <f t="shared" si="85"/>
        <v>8.9898775000000014E-2</v>
      </c>
      <c r="N225" s="101">
        <f t="shared" si="85"/>
        <v>8.9858483333333336E-2</v>
      </c>
      <c r="O225" s="101">
        <f t="shared" si="85"/>
        <v>9.1082500000000011E-2</v>
      </c>
      <c r="P225" s="101">
        <f t="shared" si="85"/>
        <v>9.2530050000000003E-2</v>
      </c>
      <c r="Q225" s="101">
        <f t="shared" si="85"/>
        <v>9.4139991666666659E-2</v>
      </c>
      <c r="R225" s="101">
        <f t="shared" si="85"/>
        <v>9.5890691666666666E-2</v>
      </c>
      <c r="S225" s="101">
        <f t="shared" si="85"/>
        <v>9.7506316666666676E-2</v>
      </c>
      <c r="T225" s="101">
        <f t="shared" si="85"/>
        <v>9.8868924999999996E-2</v>
      </c>
      <c r="U225" s="101">
        <f t="shared" si="85"/>
        <v>9.9646824999999994E-2</v>
      </c>
      <c r="V225" s="101"/>
    </row>
    <row r="226" spans="1:23" outlineLevel="1">
      <c r="C226" s="6" t="s">
        <v>84</v>
      </c>
      <c r="F226" s="103">
        <f>+I47</f>
        <v>4.0617783333333331E-2</v>
      </c>
      <c r="G226" s="103">
        <f>+H47</f>
        <v>0.05</v>
      </c>
      <c r="H226" s="107">
        <f>+K47</f>
        <v>0</v>
      </c>
      <c r="I226" s="31"/>
      <c r="J226" s="31"/>
      <c r="K226" s="101">
        <f t="shared" si="84"/>
        <v>9.061778333333334E-2</v>
      </c>
      <c r="L226" s="101">
        <f t="shared" si="84"/>
        <v>9.0366608333333348E-2</v>
      </c>
      <c r="M226" s="101">
        <f t="shared" si="85"/>
        <v>8.9898775000000014E-2</v>
      </c>
      <c r="N226" s="101">
        <f t="shared" si="85"/>
        <v>8.9858483333333336E-2</v>
      </c>
      <c r="O226" s="101">
        <f t="shared" si="85"/>
        <v>9.1082500000000011E-2</v>
      </c>
      <c r="P226" s="101">
        <f t="shared" si="85"/>
        <v>9.2530050000000003E-2</v>
      </c>
      <c r="Q226" s="101">
        <f t="shared" si="85"/>
        <v>9.4139991666666659E-2</v>
      </c>
      <c r="R226" s="101">
        <f t="shared" si="85"/>
        <v>9.5890691666666666E-2</v>
      </c>
      <c r="S226" s="101">
        <f t="shared" si="85"/>
        <v>9.7506316666666676E-2</v>
      </c>
      <c r="T226" s="101">
        <f t="shared" si="85"/>
        <v>9.8868924999999996E-2</v>
      </c>
      <c r="U226" s="101">
        <f t="shared" si="85"/>
        <v>9.9646824999999994E-2</v>
      </c>
      <c r="V226" s="101"/>
    </row>
    <row r="227" spans="1:23" outlineLevel="1">
      <c r="F227" s="103"/>
      <c r="G227" s="103"/>
      <c r="H227" s="107"/>
      <c r="I227" s="31"/>
      <c r="J227" s="3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</row>
    <row r="228" spans="1:23" outlineLevel="1">
      <c r="I228" s="31"/>
      <c r="J228" s="31"/>
      <c r="K228" s="31"/>
      <c r="L228" s="31"/>
      <c r="M228" s="31"/>
      <c r="N228" s="31"/>
      <c r="O228" s="31"/>
      <c r="P228" s="31"/>
      <c r="Q228" s="31"/>
    </row>
    <row r="229" spans="1:23" outlineLevel="1">
      <c r="I229" s="31"/>
      <c r="J229" s="31"/>
      <c r="K229" s="69" t="str">
        <f>+M151</f>
        <v/>
      </c>
      <c r="L229" s="69" t="str">
        <f>+N151</f>
        <v/>
      </c>
      <c r="M229" s="69"/>
      <c r="N229" s="69"/>
      <c r="O229" s="69"/>
      <c r="P229" s="69"/>
      <c r="Q229" s="69"/>
      <c r="R229" s="132">
        <f>+R151</f>
        <v>47848</v>
      </c>
    </row>
    <row r="230" spans="1:23" outlineLevel="1">
      <c r="I230" s="31"/>
      <c r="J230" s="31"/>
      <c r="K230" s="69">
        <f t="shared" ref="K230:P230" si="86">+L152</f>
        <v>46387</v>
      </c>
      <c r="L230" s="69">
        <f t="shared" si="86"/>
        <v>46752</v>
      </c>
      <c r="M230" s="69">
        <f t="shared" si="86"/>
        <v>47118</v>
      </c>
      <c r="N230" s="69">
        <f t="shared" si="86"/>
        <v>47483</v>
      </c>
      <c r="O230" s="69">
        <f t="shared" si="86"/>
        <v>47848</v>
      </c>
      <c r="P230" s="69">
        <f t="shared" si="86"/>
        <v>48213</v>
      </c>
      <c r="Q230" s="69"/>
      <c r="R230" s="132">
        <f>+R152</f>
        <v>48029</v>
      </c>
    </row>
    <row r="231" spans="1:23" outlineLevel="1">
      <c r="B231" s="5" t="s">
        <v>6</v>
      </c>
      <c r="J231" s="31"/>
      <c r="K231" s="31"/>
      <c r="L231" s="31"/>
      <c r="M231" s="31"/>
      <c r="N231" s="31"/>
      <c r="O231" s="31"/>
      <c r="P231" s="31"/>
      <c r="Q231" s="31"/>
      <c r="R231" s="133"/>
      <c r="S231" s="31"/>
      <c r="T231" s="31"/>
      <c r="U231" s="31"/>
      <c r="V231" s="31"/>
      <c r="W231" s="31"/>
    </row>
    <row r="232" spans="1:23" s="5" customFormat="1" outlineLevel="1">
      <c r="A232" s="30"/>
      <c r="C232" s="5" t="s">
        <v>189</v>
      </c>
      <c r="J232" s="105"/>
      <c r="K232" s="105">
        <f>J247</f>
        <v>0</v>
      </c>
      <c r="L232" s="105">
        <f t="shared" ref="L232:P232" ca="1" si="87">K247</f>
        <v>3.5588851283616258</v>
      </c>
      <c r="M232" s="105">
        <f t="shared" ca="1" si="87"/>
        <v>9.964680854588158</v>
      </c>
      <c r="N232" s="105">
        <f t="shared" ca="1" si="87"/>
        <v>15.988412749021659</v>
      </c>
      <c r="O232" s="105">
        <f t="shared" ca="1" si="87"/>
        <v>21.310700457143916</v>
      </c>
      <c r="P232" s="105">
        <f t="shared" ca="1" si="87"/>
        <v>26.022218684325793</v>
      </c>
      <c r="Q232" s="105"/>
      <c r="R232" s="138">
        <f ca="1">INDEX(L247:Q247,MATCH($R$229,$L$230:$Q$230,0))</f>
        <v>26.022218684325793</v>
      </c>
      <c r="S232" s="105"/>
      <c r="T232" s="105"/>
      <c r="U232" s="105"/>
      <c r="V232" s="105"/>
      <c r="W232" s="105"/>
    </row>
    <row r="233" spans="1:23" outlineLevel="1">
      <c r="D233" s="6" t="s">
        <v>31</v>
      </c>
      <c r="J233" s="31"/>
      <c r="K233" s="31">
        <f t="shared" ref="K233:P233" ca="1" si="88">+L162</f>
        <v>3.5588851283616258</v>
      </c>
      <c r="L233" s="31">
        <f t="shared" ca="1" si="88"/>
        <v>6.4057957262265317</v>
      </c>
      <c r="M233" s="31">
        <f t="shared" ca="1" si="88"/>
        <v>6.0237318944335003</v>
      </c>
      <c r="N233" s="31">
        <f t="shared" ca="1" si="88"/>
        <v>5.3222877081222562</v>
      </c>
      <c r="O233" s="31">
        <f t="shared" ca="1" si="88"/>
        <v>4.7115182271818767</v>
      </c>
      <c r="P233" s="31">
        <f t="shared" ca="1" si="88"/>
        <v>4.9934705579818157</v>
      </c>
      <c r="Q233" s="31"/>
      <c r="R233" s="133">
        <f ca="1">SUM(R153,R155,R156,R154,R157,R159,R160,R161)</f>
        <v>2.4967352789909079</v>
      </c>
      <c r="S233" s="31"/>
      <c r="T233" s="31"/>
      <c r="U233" s="31"/>
      <c r="V233" s="31"/>
      <c r="W233" s="31"/>
    </row>
    <row r="234" spans="1:23" outlineLevel="1">
      <c r="D234" s="6" t="s">
        <v>191</v>
      </c>
      <c r="J234" s="31"/>
      <c r="K234" s="31">
        <f>-K264</f>
        <v>0</v>
      </c>
      <c r="L234" s="31">
        <f t="shared" ref="L234:R234" si="89">L264</f>
        <v>0</v>
      </c>
      <c r="M234" s="31">
        <f t="shared" si="89"/>
        <v>0</v>
      </c>
      <c r="N234" s="31">
        <f t="shared" si="89"/>
        <v>0</v>
      </c>
      <c r="O234" s="31">
        <f t="shared" si="89"/>
        <v>0</v>
      </c>
      <c r="P234" s="31">
        <f t="shared" si="89"/>
        <v>0</v>
      </c>
      <c r="Q234" s="31"/>
      <c r="R234" s="133">
        <f t="shared" si="89"/>
        <v>0</v>
      </c>
      <c r="S234" s="31"/>
      <c r="T234" s="31"/>
      <c r="U234" s="31"/>
      <c r="V234" s="31"/>
      <c r="W234" s="31"/>
    </row>
    <row r="235" spans="1:23" outlineLevel="1">
      <c r="D235" s="6" t="s">
        <v>234</v>
      </c>
      <c r="J235" s="31"/>
      <c r="K235" s="31">
        <f ca="1">-K266</f>
        <v>0</v>
      </c>
      <c r="L235" s="31">
        <f t="shared" ref="L235:R235" ca="1" si="90">-L266</f>
        <v>0</v>
      </c>
      <c r="M235" s="31">
        <f t="shared" ca="1" si="90"/>
        <v>0</v>
      </c>
      <c r="N235" s="31">
        <f t="shared" ca="1" si="90"/>
        <v>0</v>
      </c>
      <c r="O235" s="31">
        <f t="shared" ca="1" si="90"/>
        <v>0</v>
      </c>
      <c r="P235" s="31">
        <f t="shared" ca="1" si="90"/>
        <v>0</v>
      </c>
      <c r="Q235" s="31"/>
      <c r="R235" s="133">
        <f t="shared" ca="1" si="90"/>
        <v>0</v>
      </c>
      <c r="S235" s="31"/>
      <c r="T235" s="31"/>
      <c r="U235" s="31"/>
      <c r="V235" s="31"/>
      <c r="W235" s="31"/>
    </row>
    <row r="236" spans="1:23" outlineLevel="1">
      <c r="D236" s="6" t="s">
        <v>192</v>
      </c>
      <c r="J236" s="31"/>
      <c r="K236" s="31">
        <f>-K273</f>
        <v>0</v>
      </c>
      <c r="L236" s="31">
        <f t="shared" ref="L236:R236" si="91">L273</f>
        <v>0</v>
      </c>
      <c r="M236" s="31">
        <f t="shared" si="91"/>
        <v>0</v>
      </c>
      <c r="N236" s="31">
        <f t="shared" si="91"/>
        <v>0</v>
      </c>
      <c r="O236" s="31">
        <f t="shared" si="91"/>
        <v>0</v>
      </c>
      <c r="P236" s="31">
        <f t="shared" si="91"/>
        <v>0</v>
      </c>
      <c r="Q236" s="31"/>
      <c r="R236" s="133">
        <f t="shared" si="91"/>
        <v>0</v>
      </c>
      <c r="S236" s="31"/>
      <c r="T236" s="31"/>
      <c r="U236" s="31"/>
      <c r="V236" s="31"/>
      <c r="W236" s="31"/>
    </row>
    <row r="237" spans="1:23" outlineLevel="1">
      <c r="D237" s="6" t="s">
        <v>235</v>
      </c>
      <c r="J237" s="31"/>
      <c r="K237" s="31">
        <f ca="1">-K275</f>
        <v>0</v>
      </c>
      <c r="L237" s="31">
        <f t="shared" ref="L237:R237" ca="1" si="92">-L275</f>
        <v>0</v>
      </c>
      <c r="M237" s="31">
        <f t="shared" ca="1" si="92"/>
        <v>0</v>
      </c>
      <c r="N237" s="31">
        <f t="shared" ca="1" si="92"/>
        <v>0</v>
      </c>
      <c r="O237" s="31">
        <f t="shared" ca="1" si="92"/>
        <v>0</v>
      </c>
      <c r="P237" s="31">
        <f t="shared" ca="1" si="92"/>
        <v>0</v>
      </c>
      <c r="Q237" s="31"/>
      <c r="R237" s="133">
        <f t="shared" ca="1" si="92"/>
        <v>0</v>
      </c>
      <c r="S237" s="31"/>
      <c r="T237" s="31"/>
      <c r="U237" s="31"/>
      <c r="V237" s="31"/>
      <c r="W237" s="31"/>
    </row>
    <row r="238" spans="1:23" s="5" customFormat="1" outlineLevel="1">
      <c r="A238" s="30"/>
      <c r="C238" s="5" t="s">
        <v>236</v>
      </c>
      <c r="J238" s="105"/>
      <c r="K238" s="33">
        <f t="shared" ref="K238:R238" ca="1" si="93">SUM(K232:K237)</f>
        <v>3.5588851283616258</v>
      </c>
      <c r="L238" s="33">
        <f t="shared" ca="1" si="93"/>
        <v>9.964680854588158</v>
      </c>
      <c r="M238" s="33">
        <f t="shared" ca="1" si="93"/>
        <v>15.988412749021659</v>
      </c>
      <c r="N238" s="33">
        <f t="shared" ca="1" si="93"/>
        <v>21.310700457143916</v>
      </c>
      <c r="O238" s="33">
        <f t="shared" ca="1" si="93"/>
        <v>26.022218684325793</v>
      </c>
      <c r="P238" s="33">
        <f t="shared" ca="1" si="93"/>
        <v>31.015689242307609</v>
      </c>
      <c r="Q238" s="33"/>
      <c r="R238" s="184">
        <f t="shared" ca="1" si="93"/>
        <v>28.518953963316701</v>
      </c>
      <c r="S238" s="105"/>
      <c r="T238" s="105"/>
      <c r="U238" s="105"/>
      <c r="V238" s="105"/>
      <c r="W238" s="105"/>
    </row>
    <row r="239" spans="1:23" outlineLevel="1">
      <c r="D239" s="6" t="s">
        <v>190</v>
      </c>
      <c r="J239" s="31"/>
      <c r="K239" s="31">
        <f t="shared" ref="K239:P239" ca="1" si="94">MIN(-MIN((K238-Min_cash),0),-K257)</f>
        <v>0</v>
      </c>
      <c r="L239" s="31">
        <f t="shared" ca="1" si="94"/>
        <v>0</v>
      </c>
      <c r="M239" s="31">
        <f t="shared" ca="1" si="94"/>
        <v>0</v>
      </c>
      <c r="N239" s="31">
        <f t="shared" ca="1" si="94"/>
        <v>0</v>
      </c>
      <c r="O239" s="31">
        <f t="shared" ca="1" si="94"/>
        <v>0</v>
      </c>
      <c r="P239" s="31">
        <f t="shared" ca="1" si="94"/>
        <v>0</v>
      </c>
      <c r="Q239" s="31"/>
      <c r="R239" s="133">
        <f ca="1">-R253</f>
        <v>0</v>
      </c>
      <c r="S239" s="31"/>
      <c r="T239" s="31"/>
      <c r="U239" s="31"/>
      <c r="V239" s="31"/>
      <c r="W239" s="31"/>
    </row>
    <row r="240" spans="1:23" s="5" customFormat="1" outlineLevel="1">
      <c r="A240" s="30"/>
      <c r="C240" s="5" t="s">
        <v>237</v>
      </c>
      <c r="J240" s="105"/>
      <c r="K240" s="33">
        <f t="shared" ref="K240:P240" ca="1" si="95">+SUM(K238+K239)</f>
        <v>3.5588851283616258</v>
      </c>
      <c r="L240" s="33">
        <f t="shared" ca="1" si="95"/>
        <v>9.964680854588158</v>
      </c>
      <c r="M240" s="33">
        <f t="shared" ca="1" si="95"/>
        <v>15.988412749021659</v>
      </c>
      <c r="N240" s="33">
        <f t="shared" ca="1" si="95"/>
        <v>21.310700457143916</v>
      </c>
      <c r="O240" s="33">
        <f t="shared" ca="1" si="95"/>
        <v>26.022218684325793</v>
      </c>
      <c r="P240" s="33">
        <f t="shared" ca="1" si="95"/>
        <v>31.015689242307609</v>
      </c>
      <c r="Q240" s="33"/>
      <c r="R240" s="184">
        <f ca="1">SUM(R238:R239)</f>
        <v>28.518953963316701</v>
      </c>
      <c r="S240" s="105"/>
      <c r="T240" s="105"/>
      <c r="U240" s="105"/>
      <c r="V240" s="105"/>
      <c r="W240" s="105"/>
    </row>
    <row r="241" spans="1:23" outlineLevel="1">
      <c r="D241" s="6" t="s">
        <v>232</v>
      </c>
      <c r="J241" s="31"/>
      <c r="K241" s="31">
        <f t="shared" ref="K241:P241" ca="1" si="96">-MIN(K240-Min_cash,K257+RCF_quantum)*$H$257</f>
        <v>0</v>
      </c>
      <c r="L241" s="31">
        <f t="shared" ca="1" si="96"/>
        <v>0</v>
      </c>
      <c r="M241" s="31">
        <f t="shared" ca="1" si="96"/>
        <v>0</v>
      </c>
      <c r="N241" s="31">
        <f t="shared" ca="1" si="96"/>
        <v>0</v>
      </c>
      <c r="O241" s="31">
        <f t="shared" ca="1" si="96"/>
        <v>0</v>
      </c>
      <c r="P241" s="31">
        <f t="shared" ca="1" si="96"/>
        <v>0</v>
      </c>
      <c r="Q241" s="31"/>
      <c r="R241" s="133">
        <f ca="1">R258</f>
        <v>0</v>
      </c>
      <c r="S241" s="31"/>
      <c r="T241" s="31"/>
      <c r="U241" s="31"/>
      <c r="V241" s="31"/>
      <c r="W241" s="31"/>
    </row>
    <row r="242" spans="1:23" outlineLevel="1">
      <c r="D242" s="6" t="s">
        <v>240</v>
      </c>
      <c r="H242" s="110">
        <f>N46</f>
        <v>0</v>
      </c>
      <c r="J242" s="31"/>
      <c r="K242" s="31">
        <f t="shared" ref="K242:P242" ca="1" si="97">-MIN(SUM(K240:K241)*$H242,MAX(0,SUM(K240:K241)-Min_cash))</f>
        <v>0</v>
      </c>
      <c r="L242" s="31">
        <f t="shared" ca="1" si="97"/>
        <v>0</v>
      </c>
      <c r="M242" s="31">
        <f t="shared" ca="1" si="97"/>
        <v>0</v>
      </c>
      <c r="N242" s="31">
        <f t="shared" ca="1" si="97"/>
        <v>0</v>
      </c>
      <c r="O242" s="31">
        <f t="shared" ca="1" si="97"/>
        <v>0</v>
      </c>
      <c r="P242" s="31">
        <f t="shared" ca="1" si="97"/>
        <v>0</v>
      </c>
      <c r="Q242" s="31"/>
      <c r="R242" s="133">
        <f ca="1">-SUM(R273:R274)</f>
        <v>0</v>
      </c>
      <c r="S242" s="31"/>
      <c r="T242" s="31"/>
      <c r="U242" s="31"/>
      <c r="V242" s="31"/>
      <c r="W242" s="31"/>
    </row>
    <row r="243" spans="1:23" outlineLevel="1">
      <c r="D243" s="6" t="s">
        <v>241</v>
      </c>
      <c r="H243" s="110">
        <f>N47</f>
        <v>0</v>
      </c>
      <c r="J243" s="31"/>
      <c r="K243" s="31">
        <f t="shared" ref="K243:R243" ca="1" si="98">-MIN(SUM(K240:K242)*$H243,MAX(0,SUM(K240:K242)-Min_cash))</f>
        <v>0</v>
      </c>
      <c r="L243" s="31">
        <f t="shared" ca="1" si="98"/>
        <v>0</v>
      </c>
      <c r="M243" s="31">
        <f t="shared" ca="1" si="98"/>
        <v>0</v>
      </c>
      <c r="N243" s="31">
        <f t="shared" ca="1" si="98"/>
        <v>0</v>
      </c>
      <c r="O243" s="31">
        <f t="shared" ca="1" si="98"/>
        <v>0</v>
      </c>
      <c r="P243" s="31">
        <f t="shared" ca="1" si="98"/>
        <v>0</v>
      </c>
      <c r="Q243" s="31"/>
      <c r="R243" s="133">
        <f t="shared" ca="1" si="98"/>
        <v>0</v>
      </c>
      <c r="S243" s="31"/>
      <c r="T243" s="31"/>
      <c r="U243" s="31"/>
      <c r="V243" s="31"/>
      <c r="W243" s="31"/>
    </row>
    <row r="244" spans="1:23" s="5" customFormat="1" outlineLevel="1">
      <c r="A244" s="30"/>
      <c r="C244" s="5" t="s">
        <v>242</v>
      </c>
      <c r="J244" s="105"/>
      <c r="K244" s="33">
        <f ca="1">SUM(K240:K243)</f>
        <v>3.5588851283616258</v>
      </c>
      <c r="L244" s="33">
        <f t="shared" ref="L244:R244" ca="1" si="99">SUM(L240:L243)</f>
        <v>9.964680854588158</v>
      </c>
      <c r="M244" s="33">
        <f t="shared" ca="1" si="99"/>
        <v>15.988412749021659</v>
      </c>
      <c r="N244" s="33">
        <f t="shared" ca="1" si="99"/>
        <v>21.310700457143916</v>
      </c>
      <c r="O244" s="33">
        <f t="shared" ca="1" si="99"/>
        <v>26.022218684325793</v>
      </c>
      <c r="P244" s="33">
        <f t="shared" ca="1" si="99"/>
        <v>31.015689242307609</v>
      </c>
      <c r="Q244" s="33"/>
      <c r="R244" s="33">
        <f t="shared" ca="1" si="99"/>
        <v>28.518953963316701</v>
      </c>
      <c r="S244" s="105"/>
      <c r="T244" s="105"/>
      <c r="U244" s="105"/>
      <c r="V244" s="105"/>
      <c r="W244" s="105"/>
    </row>
    <row r="245" spans="1:23" outlineLevel="1">
      <c r="D245" s="6" t="s">
        <v>212</v>
      </c>
      <c r="J245" s="31"/>
      <c r="K245" s="31">
        <f t="shared" ref="K245:R245" ca="1" si="100">+K306</f>
        <v>0</v>
      </c>
      <c r="L245" s="31">
        <f t="shared" ca="1" si="100"/>
        <v>0</v>
      </c>
      <c r="M245" s="31">
        <f t="shared" ca="1" si="100"/>
        <v>0</v>
      </c>
      <c r="N245" s="31">
        <f t="shared" ca="1" si="100"/>
        <v>0</v>
      </c>
      <c r="O245" s="31">
        <f t="shared" ca="1" si="100"/>
        <v>0</v>
      </c>
      <c r="P245" s="31">
        <f t="shared" ca="1" si="100"/>
        <v>0</v>
      </c>
      <c r="Q245" s="31"/>
      <c r="R245" s="133">
        <f t="shared" ca="1" si="100"/>
        <v>0</v>
      </c>
      <c r="S245" s="31"/>
      <c r="T245" s="31"/>
      <c r="U245" s="31"/>
      <c r="V245" s="31"/>
      <c r="W245" s="31"/>
    </row>
    <row r="246" spans="1:23" outlineLevel="1">
      <c r="C246" s="6" t="s">
        <v>184</v>
      </c>
      <c r="I246" s="31"/>
      <c r="J246" s="31"/>
      <c r="K246" s="31">
        <f>J247*K223*stub</f>
        <v>0</v>
      </c>
      <c r="L246" s="31">
        <f ca="1">K247*L223</f>
        <v>0</v>
      </c>
      <c r="M246" s="31">
        <f t="shared" ref="M246:P246" ca="1" si="101">L247*M223</f>
        <v>0</v>
      </c>
      <c r="N246" s="31">
        <f t="shared" ca="1" si="101"/>
        <v>0</v>
      </c>
      <c r="O246" s="31">
        <f t="shared" ca="1" si="101"/>
        <v>0</v>
      </c>
      <c r="P246" s="31">
        <f t="shared" ca="1" si="101"/>
        <v>0</v>
      </c>
      <c r="Q246" s="31"/>
      <c r="R246" s="133">
        <f ca="1">INDEX(K246:Q246,MATCH(EDATE($R$229,12),$K$230:$Q$230,0))*(1-stub)</f>
        <v>0</v>
      </c>
      <c r="S246" s="31"/>
      <c r="T246" s="31"/>
      <c r="U246" s="31"/>
      <c r="V246" s="31"/>
      <c r="W246" s="31"/>
    </row>
    <row r="247" spans="1:23" s="5" customFormat="1" outlineLevel="1">
      <c r="A247" s="30"/>
      <c r="C247" s="5" t="s">
        <v>36</v>
      </c>
      <c r="J247" s="33">
        <f>-G89</f>
        <v>0</v>
      </c>
      <c r="K247" s="34">
        <f t="shared" ref="K247:P247" ca="1" si="102">SUM(K244:K245)</f>
        <v>3.5588851283616258</v>
      </c>
      <c r="L247" s="34">
        <f t="shared" ca="1" si="102"/>
        <v>9.964680854588158</v>
      </c>
      <c r="M247" s="34">
        <f t="shared" ca="1" si="102"/>
        <v>15.988412749021659</v>
      </c>
      <c r="N247" s="34">
        <f t="shared" ca="1" si="102"/>
        <v>21.310700457143916</v>
      </c>
      <c r="O247" s="34">
        <f t="shared" ca="1" si="102"/>
        <v>26.022218684325793</v>
      </c>
      <c r="P247" s="34">
        <f t="shared" ca="1" si="102"/>
        <v>31.015689242307609</v>
      </c>
      <c r="Q247" s="34"/>
      <c r="R247" s="134">
        <f ca="1">SUM(R244:R246)</f>
        <v>28.518953963316701</v>
      </c>
      <c r="S247" s="105"/>
      <c r="T247" s="105"/>
      <c r="U247" s="105"/>
      <c r="V247" s="105"/>
      <c r="W247" s="105"/>
    </row>
    <row r="248" spans="1:23" outlineLevel="1">
      <c r="J248" s="31"/>
      <c r="K248" s="77" t="b">
        <f t="shared" ref="K248:P248" ca="1" si="103">ROUND(K247,3)=ROUND(L177,3)</f>
        <v>1</v>
      </c>
      <c r="L248" s="77" t="b">
        <f t="shared" ca="1" si="103"/>
        <v>1</v>
      </c>
      <c r="M248" s="77" t="b">
        <f t="shared" ca="1" si="103"/>
        <v>1</v>
      </c>
      <c r="N248" s="77" t="b">
        <f t="shared" ca="1" si="103"/>
        <v>1</v>
      </c>
      <c r="O248" s="77" t="b">
        <f t="shared" ca="1" si="103"/>
        <v>1</v>
      </c>
      <c r="P248" s="77" t="b">
        <f t="shared" ca="1" si="103"/>
        <v>1</v>
      </c>
      <c r="Q248" s="77"/>
      <c r="R248" s="77" t="b">
        <f t="shared" ref="R248" ca="1" si="104">ROUND(R247,3)=ROUND(R177,3)</f>
        <v>1</v>
      </c>
      <c r="S248" s="31"/>
      <c r="T248" s="31"/>
      <c r="U248" s="31"/>
      <c r="V248" s="31"/>
      <c r="W248" s="31"/>
    </row>
    <row r="249" spans="1:23" outlineLevel="1">
      <c r="J249" s="31" t="s">
        <v>35</v>
      </c>
      <c r="K249" s="83"/>
      <c r="L249" s="83"/>
      <c r="M249" s="83"/>
      <c r="N249" s="83"/>
      <c r="O249" s="83"/>
      <c r="P249" s="83"/>
      <c r="Q249" s="83"/>
      <c r="R249" s="133"/>
      <c r="S249" s="31"/>
      <c r="T249" s="31"/>
      <c r="U249" s="31"/>
      <c r="V249" s="31"/>
      <c r="W249" s="31"/>
    </row>
    <row r="250" spans="1:23" outlineLevel="1">
      <c r="B250" s="5" t="s">
        <v>88</v>
      </c>
      <c r="I250" s="31"/>
      <c r="J250" s="31"/>
      <c r="K250" s="31"/>
      <c r="L250" s="31"/>
      <c r="M250" s="31"/>
      <c r="N250" s="31"/>
      <c r="O250" s="31"/>
      <c r="P250" s="31"/>
      <c r="Q250" s="31"/>
      <c r="R250" s="133"/>
      <c r="S250" s="31"/>
      <c r="T250" s="31"/>
      <c r="U250" s="31"/>
      <c r="V250" s="31"/>
      <c r="W250" s="31"/>
    </row>
    <row r="251" spans="1:23" outlineLevel="1">
      <c r="C251" s="6" t="s">
        <v>171</v>
      </c>
      <c r="I251" s="31"/>
      <c r="J251" s="31"/>
      <c r="K251" s="31">
        <f>J259</f>
        <v>0</v>
      </c>
      <c r="L251" s="31">
        <f t="shared" ref="L251:P251" ca="1" si="105">K259</f>
        <v>0</v>
      </c>
      <c r="M251" s="31">
        <f t="shared" ca="1" si="105"/>
        <v>0</v>
      </c>
      <c r="N251" s="31">
        <f t="shared" ca="1" si="105"/>
        <v>0</v>
      </c>
      <c r="O251" s="31">
        <f t="shared" ca="1" si="105"/>
        <v>0</v>
      </c>
      <c r="P251" s="31">
        <f t="shared" ca="1" si="105"/>
        <v>0</v>
      </c>
      <c r="Q251" s="31"/>
      <c r="R251" s="133">
        <f ca="1">INDEX(L259:Q259,MATCH($R$229,$L$230:$Q$230,0))</f>
        <v>0</v>
      </c>
      <c r="S251" s="31"/>
      <c r="T251" s="31"/>
      <c r="U251" s="31"/>
      <c r="V251" s="31"/>
      <c r="W251" s="31"/>
    </row>
    <row r="252" spans="1:23" outlineLevel="1">
      <c r="D252" s="6" t="s">
        <v>173</v>
      </c>
      <c r="I252" s="31"/>
      <c r="J252" s="31"/>
      <c r="K252" s="31">
        <f>K251*K224*stub</f>
        <v>0</v>
      </c>
      <c r="L252" s="31">
        <f t="shared" ref="L252:P252" ca="1" si="106">L251*L224</f>
        <v>0</v>
      </c>
      <c r="M252" s="31">
        <f t="shared" ca="1" si="106"/>
        <v>0</v>
      </c>
      <c r="N252" s="31">
        <f t="shared" ca="1" si="106"/>
        <v>0</v>
      </c>
      <c r="O252" s="31">
        <f t="shared" ca="1" si="106"/>
        <v>0</v>
      </c>
      <c r="P252" s="31">
        <f t="shared" ca="1" si="106"/>
        <v>0</v>
      </c>
      <c r="Q252" s="31"/>
      <c r="R252" s="133">
        <f ca="1">INDEX(K252:Q252,MATCH(EDATE($R$229,12),$K$230:$Q$230,0))*(1-stub)</f>
        <v>0</v>
      </c>
      <c r="S252" s="31"/>
      <c r="T252" s="31"/>
      <c r="U252" s="31"/>
      <c r="V252" s="31"/>
      <c r="W252" s="31"/>
    </row>
    <row r="253" spans="1:23" outlineLevel="1">
      <c r="D253" s="6" t="s">
        <v>231</v>
      </c>
      <c r="H253" s="130">
        <f>RCF_quantum</f>
        <v>25</v>
      </c>
      <c r="I253" s="31"/>
      <c r="J253" s="31"/>
      <c r="K253" s="31">
        <f t="shared" ref="K253:P253" ca="1" si="107">-K239</f>
        <v>0</v>
      </c>
      <c r="L253" s="31">
        <f t="shared" ca="1" si="107"/>
        <v>0</v>
      </c>
      <c r="M253" s="31">
        <f t="shared" ca="1" si="107"/>
        <v>0</v>
      </c>
      <c r="N253" s="31">
        <f t="shared" ca="1" si="107"/>
        <v>0</v>
      </c>
      <c r="O253" s="31">
        <f t="shared" ca="1" si="107"/>
        <v>0</v>
      </c>
      <c r="P253" s="31">
        <f t="shared" ca="1" si="107"/>
        <v>0</v>
      </c>
      <c r="Q253" s="31"/>
      <c r="R253" s="133">
        <f ca="1">INDEX(K253:Q253,MATCH(EDATE($R$229,12),$K$230:$Q$230,0))*(1-stub)</f>
        <v>0</v>
      </c>
      <c r="S253" s="31"/>
      <c r="T253" s="31"/>
      <c r="U253" s="31"/>
      <c r="V253" s="31"/>
      <c r="W253" s="31"/>
    </row>
    <row r="254" spans="1:23" outlineLevel="1">
      <c r="D254" s="6" t="s">
        <v>185</v>
      </c>
      <c r="H254" s="103">
        <f>$J$45</f>
        <v>0</v>
      </c>
      <c r="I254" s="31"/>
      <c r="J254" s="31"/>
      <c r="K254" s="31">
        <f ca="1">(K251-K253-RCF_quantum)*$H$254*stub</f>
        <v>0</v>
      </c>
      <c r="L254" s="31">
        <f t="shared" ref="L254:P254" ca="1" si="108">(L251-L253-RCF_quantum)*$H$254</f>
        <v>0</v>
      </c>
      <c r="M254" s="31">
        <f t="shared" ca="1" si="108"/>
        <v>0</v>
      </c>
      <c r="N254" s="31">
        <f t="shared" ca="1" si="108"/>
        <v>0</v>
      </c>
      <c r="O254" s="31">
        <f t="shared" ca="1" si="108"/>
        <v>0</v>
      </c>
      <c r="P254" s="31">
        <f t="shared" ca="1" si="108"/>
        <v>0</v>
      </c>
      <c r="Q254" s="31"/>
      <c r="R254" s="31">
        <f ca="1">(R251-R253-RCF_quantum)*$H$254</f>
        <v>0</v>
      </c>
      <c r="S254" s="31"/>
      <c r="T254" s="31"/>
      <c r="U254" s="31"/>
      <c r="V254" s="31"/>
      <c r="W254" s="31"/>
    </row>
    <row r="255" spans="1:23" outlineLevel="1">
      <c r="D255" s="6" t="s">
        <v>233</v>
      </c>
      <c r="H255" s="110">
        <f>L45</f>
        <v>1</v>
      </c>
      <c r="I255" s="31"/>
      <c r="J255" s="31"/>
      <c r="K255" s="31">
        <f ca="1">-K252*$H$255-K254</f>
        <v>0</v>
      </c>
      <c r="L255" s="31">
        <f t="shared" ref="L255:P255" ca="1" si="109">-L252*$H$255-L254</f>
        <v>0</v>
      </c>
      <c r="M255" s="31">
        <f t="shared" ca="1" si="109"/>
        <v>0</v>
      </c>
      <c r="N255" s="31">
        <f t="shared" ca="1" si="109"/>
        <v>0</v>
      </c>
      <c r="O255" s="31">
        <f t="shared" ca="1" si="109"/>
        <v>0</v>
      </c>
      <c r="P255" s="31">
        <f t="shared" ca="1" si="109"/>
        <v>0</v>
      </c>
      <c r="Q255" s="31"/>
      <c r="R255" s="133">
        <f ca="1">-R252*$H$255-R254</f>
        <v>0</v>
      </c>
      <c r="S255" s="31"/>
      <c r="T255" s="31"/>
      <c r="U255" s="31"/>
      <c r="V255" s="31"/>
      <c r="W255" s="31"/>
    </row>
    <row r="256" spans="1:23" outlineLevel="1">
      <c r="C256" s="6" t="s">
        <v>239</v>
      </c>
      <c r="H256" s="110"/>
      <c r="I256" s="31"/>
      <c r="J256" s="31"/>
      <c r="K256" s="34">
        <f ca="1">SUM(K251:K255)</f>
        <v>0</v>
      </c>
      <c r="L256" s="34">
        <f t="shared" ref="L256" ca="1" si="110">SUM(L251:L255)</f>
        <v>0</v>
      </c>
      <c r="M256" s="34">
        <f t="shared" ref="M256" ca="1" si="111">SUM(M251:M255)</f>
        <v>0</v>
      </c>
      <c r="N256" s="34">
        <f t="shared" ref="N256" ca="1" si="112">SUM(N251:N255)</f>
        <v>0</v>
      </c>
      <c r="O256" s="34">
        <f t="shared" ref="O256" ca="1" si="113">SUM(O251:O255)</f>
        <v>0</v>
      </c>
      <c r="P256" s="34">
        <f t="shared" ref="P256" ca="1" si="114">SUM(P251:P255)</f>
        <v>0</v>
      </c>
      <c r="Q256" s="34"/>
      <c r="R256" s="134">
        <f t="shared" ref="R256" ca="1" si="115">SUM(R251:R255)</f>
        <v>0</v>
      </c>
      <c r="S256" s="31"/>
      <c r="T256" s="31"/>
      <c r="U256" s="31"/>
      <c r="V256" s="31"/>
      <c r="W256" s="31"/>
    </row>
    <row r="257" spans="1:23" s="4" customFormat="1" outlineLevel="1">
      <c r="A257" s="28"/>
      <c r="E257" s="4" t="s">
        <v>238</v>
      </c>
      <c r="H257" s="191">
        <f>+I56</f>
        <v>0</v>
      </c>
      <c r="J257" s="75"/>
      <c r="K257" s="75">
        <f t="shared" ref="K257:P257" si="116">MAX(-RCF_quantum-J259,-RCF_quantum)*$H$257</f>
        <v>0</v>
      </c>
      <c r="L257" s="75">
        <f t="shared" ca="1" si="116"/>
        <v>0</v>
      </c>
      <c r="M257" s="75">
        <f t="shared" ca="1" si="116"/>
        <v>0</v>
      </c>
      <c r="N257" s="75">
        <f t="shared" ca="1" si="116"/>
        <v>0</v>
      </c>
      <c r="O257" s="75">
        <f t="shared" ca="1" si="116"/>
        <v>0</v>
      </c>
      <c r="P257" s="75">
        <f t="shared" ca="1" si="116"/>
        <v>0</v>
      </c>
      <c r="Q257" s="75"/>
      <c r="R257" s="133">
        <f ca="1">INDEX(L257:Q257,MATCH($R$229,$L$230:$Q$230,0))</f>
        <v>0</v>
      </c>
      <c r="S257" s="75"/>
      <c r="T257" s="75"/>
      <c r="U257" s="75"/>
      <c r="V257" s="75"/>
      <c r="W257" s="75"/>
    </row>
    <row r="258" spans="1:23" outlineLevel="1">
      <c r="D258" s="6" t="s">
        <v>208</v>
      </c>
      <c r="H258" s="107">
        <f>N45</f>
        <v>1</v>
      </c>
      <c r="I258" s="31"/>
      <c r="J258" s="31"/>
      <c r="K258" s="31">
        <f t="shared" ref="K258:P258" ca="1" si="117">-K241</f>
        <v>0</v>
      </c>
      <c r="L258" s="31">
        <f t="shared" ca="1" si="117"/>
        <v>0</v>
      </c>
      <c r="M258" s="31">
        <f t="shared" ca="1" si="117"/>
        <v>0</v>
      </c>
      <c r="N258" s="31">
        <f t="shared" ca="1" si="117"/>
        <v>0</v>
      </c>
      <c r="O258" s="31">
        <f t="shared" ca="1" si="117"/>
        <v>0</v>
      </c>
      <c r="P258" s="31">
        <f t="shared" ca="1" si="117"/>
        <v>0</v>
      </c>
      <c r="Q258" s="31"/>
      <c r="R258" s="133">
        <f ca="1">INDEX(K258:Q258,MATCH(EDATE($R$229,12),$K$230:$Q$230,0))*(1-stub)</f>
        <v>0</v>
      </c>
      <c r="S258" s="31"/>
      <c r="T258" s="31"/>
      <c r="U258" s="31"/>
      <c r="V258" s="31"/>
      <c r="W258" s="31"/>
    </row>
    <row r="259" spans="1:23" outlineLevel="1">
      <c r="C259" s="6" t="s">
        <v>172</v>
      </c>
      <c r="H259" s="110"/>
      <c r="I259" s="31"/>
      <c r="J259" s="111">
        <v>0</v>
      </c>
      <c r="K259" s="34">
        <f ca="1">SUM(K256,K258)</f>
        <v>0</v>
      </c>
      <c r="L259" s="34">
        <f t="shared" ref="L259" ca="1" si="118">SUM(L256,L258)</f>
        <v>0</v>
      </c>
      <c r="M259" s="34">
        <f t="shared" ref="M259" ca="1" si="119">SUM(M256,M258)</f>
        <v>0</v>
      </c>
      <c r="N259" s="34">
        <f t="shared" ref="N259" ca="1" si="120">SUM(N256,N258)</f>
        <v>0</v>
      </c>
      <c r="O259" s="34">
        <f t="shared" ref="O259" ca="1" si="121">SUM(O256,O258)</f>
        <v>0</v>
      </c>
      <c r="P259" s="34">
        <f t="shared" ref="P259" ca="1" si="122">SUM(P256,P258)</f>
        <v>0</v>
      </c>
      <c r="Q259" s="34"/>
      <c r="R259" s="134">
        <f t="shared" ref="R259" ca="1" si="123">SUM(R256,R258)</f>
        <v>0</v>
      </c>
      <c r="S259" s="31"/>
      <c r="T259" s="31"/>
      <c r="U259" s="31"/>
      <c r="V259" s="31"/>
      <c r="W259" s="31"/>
    </row>
    <row r="260" spans="1:23" outlineLevel="1">
      <c r="H260" s="110"/>
      <c r="I260" s="31"/>
      <c r="J260" s="31"/>
      <c r="K260" s="31"/>
      <c r="L260" s="31"/>
      <c r="M260" s="31"/>
      <c r="N260" s="31"/>
      <c r="O260" s="31"/>
      <c r="P260" s="31"/>
      <c r="Q260" s="31"/>
      <c r="R260" s="133"/>
      <c r="S260" s="31"/>
      <c r="T260" s="31"/>
      <c r="U260" s="31"/>
      <c r="V260" s="31"/>
      <c r="W260" s="31"/>
    </row>
    <row r="261" spans="1:23" outlineLevel="1">
      <c r="B261" s="5" t="s">
        <v>56</v>
      </c>
      <c r="H261" s="110"/>
      <c r="I261" s="31"/>
      <c r="J261" s="31"/>
      <c r="K261" s="31"/>
      <c r="L261" s="31"/>
      <c r="M261" s="31"/>
      <c r="N261" s="31"/>
      <c r="O261" s="31"/>
      <c r="P261" s="31"/>
      <c r="Q261" s="31"/>
      <c r="R261" s="133"/>
      <c r="S261" s="31"/>
      <c r="T261" s="31"/>
      <c r="U261" s="31"/>
      <c r="V261" s="31"/>
      <c r="W261" s="31"/>
    </row>
    <row r="262" spans="1:23" outlineLevel="1">
      <c r="C262" s="6" t="s">
        <v>171</v>
      </c>
      <c r="H262" s="110"/>
      <c r="I262" s="31"/>
      <c r="J262" s="31"/>
      <c r="K262" s="31">
        <f ca="1">J268</f>
        <v>-60.563908085910008</v>
      </c>
      <c r="L262" s="31">
        <f t="shared" ref="L262" ca="1" si="124">K268</f>
        <v>-60.563908085910008</v>
      </c>
      <c r="M262" s="31">
        <f t="shared" ref="M262:P262" ca="1" si="125">L268</f>
        <v>-60.563908085910015</v>
      </c>
      <c r="N262" s="31">
        <f t="shared" ca="1" si="125"/>
        <v>-60.563908085910008</v>
      </c>
      <c r="O262" s="31">
        <f t="shared" ca="1" si="125"/>
        <v>-60.563908085910008</v>
      </c>
      <c r="P262" s="31">
        <f t="shared" ca="1" si="125"/>
        <v>-60.563908085910015</v>
      </c>
      <c r="Q262" s="31"/>
      <c r="R262" s="133">
        <f ca="1">INDEX(L268:Q268,MATCH($R$229,$L$230:$Q$230,0))</f>
        <v>-60.563908085910015</v>
      </c>
      <c r="S262" s="31"/>
      <c r="T262" s="31"/>
      <c r="U262" s="31"/>
      <c r="V262" s="31"/>
      <c r="W262" s="31"/>
    </row>
    <row r="263" spans="1:23" outlineLevel="1">
      <c r="C263" s="6" t="s">
        <v>173</v>
      </c>
      <c r="H263" s="110"/>
      <c r="I263" s="31"/>
      <c r="J263" s="31"/>
      <c r="K263" s="31">
        <f ca="1">K262*K225*stub</f>
        <v>-2.7440835503744543</v>
      </c>
      <c r="L263" s="31">
        <f t="shared" ref="L263:P263" ca="1" si="126">L262*L225</f>
        <v>-5.4729549611354305</v>
      </c>
      <c r="M263" s="31">
        <f t="shared" ca="1" si="126"/>
        <v>-5.4446211461359058</v>
      </c>
      <c r="N263" s="31">
        <f t="shared" ca="1" si="126"/>
        <v>-5.4421809253392768</v>
      </c>
      <c r="O263" s="31">
        <f t="shared" ca="1" si="126"/>
        <v>-5.5163121582348991</v>
      </c>
      <c r="P263" s="31">
        <f t="shared" ca="1" si="126"/>
        <v>-5.603981443384658</v>
      </c>
      <c r="Q263" s="31"/>
      <c r="R263" s="133">
        <f ca="1">(1-stub)*INDEX($L263:$Q263,MATCH(EDATE($R$229,12),$L$230:$Q$230,0))</f>
        <v>-2.801990721692329</v>
      </c>
      <c r="S263" s="31"/>
      <c r="T263" s="31"/>
      <c r="U263" s="31"/>
      <c r="V263" s="31"/>
      <c r="W263" s="31"/>
    </row>
    <row r="264" spans="1:23" outlineLevel="1">
      <c r="C264" s="6" t="s">
        <v>170</v>
      </c>
      <c r="H264" s="110"/>
      <c r="J264" s="31"/>
      <c r="K264" s="106">
        <v>0</v>
      </c>
      <c r="L264" s="106">
        <v>0</v>
      </c>
      <c r="M264" s="106">
        <v>0</v>
      </c>
      <c r="N264" s="106">
        <v>0</v>
      </c>
      <c r="O264" s="106">
        <v>0</v>
      </c>
      <c r="P264" s="106">
        <v>0</v>
      </c>
      <c r="Q264" s="106"/>
      <c r="R264" s="135">
        <v>0</v>
      </c>
      <c r="S264" s="31"/>
      <c r="T264" s="31"/>
      <c r="U264" s="31"/>
      <c r="V264" s="31"/>
      <c r="W264" s="31"/>
    </row>
    <row r="265" spans="1:23" outlineLevel="1">
      <c r="C265" s="6" t="s">
        <v>174</v>
      </c>
      <c r="H265" s="110">
        <f>L46</f>
        <v>1</v>
      </c>
      <c r="J265" s="31"/>
      <c r="K265" s="31">
        <f ca="1">-K263*$H$265</f>
        <v>2.7440835503744543</v>
      </c>
      <c r="L265" s="31">
        <f t="shared" ref="L265" ca="1" si="127">-L263*$H$265</f>
        <v>5.4729549611354305</v>
      </c>
      <c r="M265" s="31">
        <f t="shared" ref="M265:R265" ca="1" si="128">-M263*$H$265</f>
        <v>5.4446211461359058</v>
      </c>
      <c r="N265" s="31">
        <f t="shared" ca="1" si="128"/>
        <v>5.4421809253392768</v>
      </c>
      <c r="O265" s="31">
        <f t="shared" ca="1" si="128"/>
        <v>5.5163121582348991</v>
      </c>
      <c r="P265" s="31">
        <f t="shared" ca="1" si="128"/>
        <v>5.603981443384658</v>
      </c>
      <c r="Q265" s="31"/>
      <c r="R265" s="133">
        <f t="shared" ca="1" si="128"/>
        <v>2.801990721692329</v>
      </c>
      <c r="S265" s="31"/>
      <c r="T265" s="31"/>
      <c r="U265" s="31"/>
      <c r="V265" s="31"/>
      <c r="W265" s="31"/>
    </row>
    <row r="266" spans="1:23" outlineLevel="1">
      <c r="C266" s="6" t="s">
        <v>118</v>
      </c>
      <c r="H266" s="110">
        <f>$M$46</f>
        <v>0</v>
      </c>
      <c r="J266" s="31"/>
      <c r="K266" s="31">
        <f ca="1">-(MAX($J$268*$H$266,K262))*stub</f>
        <v>0</v>
      </c>
      <c r="L266" s="31">
        <f t="shared" ref="L266:P266" ca="1" si="129">-(MAX($J$268*$H$266,L262))</f>
        <v>0</v>
      </c>
      <c r="M266" s="31">
        <f t="shared" ca="1" si="129"/>
        <v>0</v>
      </c>
      <c r="N266" s="31">
        <f t="shared" ca="1" si="129"/>
        <v>0</v>
      </c>
      <c r="O266" s="31">
        <f t="shared" ca="1" si="129"/>
        <v>0</v>
      </c>
      <c r="P266" s="31">
        <f t="shared" ca="1" si="129"/>
        <v>0</v>
      </c>
      <c r="Q266" s="31"/>
      <c r="R266" s="133">
        <f ca="1">(1-stub)*INDEX($L266:$Q266,MATCH(EDATE($R$229,12),$L$230:$Q$230,0))</f>
        <v>0</v>
      </c>
      <c r="S266" s="31"/>
      <c r="T266" s="31"/>
      <c r="U266" s="31"/>
      <c r="V266" s="31"/>
      <c r="W266" s="31"/>
    </row>
    <row r="267" spans="1:23" outlineLevel="1">
      <c r="C267" s="6" t="s">
        <v>120</v>
      </c>
      <c r="J267" s="31"/>
      <c r="K267" s="31">
        <f t="shared" ref="K267:P267" ca="1" si="130">-K242</f>
        <v>0</v>
      </c>
      <c r="L267" s="31">
        <f t="shared" ca="1" si="130"/>
        <v>0</v>
      </c>
      <c r="M267" s="31">
        <f t="shared" ca="1" si="130"/>
        <v>0</v>
      </c>
      <c r="N267" s="31">
        <f t="shared" ca="1" si="130"/>
        <v>0</v>
      </c>
      <c r="O267" s="31">
        <f t="shared" ca="1" si="130"/>
        <v>0</v>
      </c>
      <c r="P267" s="31">
        <f t="shared" ca="1" si="130"/>
        <v>0</v>
      </c>
      <c r="Q267" s="31"/>
      <c r="R267" s="133">
        <f ca="1">(1-stub)*INDEX($L267:$Q267,MATCH(EDATE($R$229,12),$L$230:$Q$230,0))</f>
        <v>0</v>
      </c>
      <c r="S267" s="31"/>
      <c r="T267" s="31"/>
      <c r="U267" s="31"/>
      <c r="V267" s="31"/>
      <c r="W267" s="31"/>
    </row>
    <row r="268" spans="1:23" outlineLevel="1">
      <c r="C268" s="6" t="s">
        <v>172</v>
      </c>
      <c r="H268" s="110"/>
      <c r="J268" s="34">
        <f ca="1">-SUM(G90:G91)</f>
        <v>-60.563908085910008</v>
      </c>
      <c r="K268" s="34">
        <f ca="1">SUM(K262:K267)</f>
        <v>-60.563908085910008</v>
      </c>
      <c r="L268" s="34">
        <f t="shared" ref="L268" ca="1" si="131">SUM(L262:L267)</f>
        <v>-60.563908085910015</v>
      </c>
      <c r="M268" s="34">
        <f t="shared" ref="M268:R268" ca="1" si="132">SUM(M262:M267)</f>
        <v>-60.563908085910008</v>
      </c>
      <c r="N268" s="34">
        <f t="shared" ca="1" si="132"/>
        <v>-60.563908085910008</v>
      </c>
      <c r="O268" s="34">
        <f t="shared" ca="1" si="132"/>
        <v>-60.563908085910015</v>
      </c>
      <c r="P268" s="34">
        <f t="shared" ca="1" si="132"/>
        <v>-60.563908085910015</v>
      </c>
      <c r="Q268" s="34"/>
      <c r="R268" s="134">
        <f t="shared" ca="1" si="132"/>
        <v>-60.563908085910015</v>
      </c>
      <c r="S268" s="31"/>
      <c r="T268" s="31"/>
      <c r="U268" s="31"/>
      <c r="V268" s="31"/>
      <c r="W268" s="31"/>
    </row>
    <row r="269" spans="1:23" outlineLevel="1">
      <c r="H269" s="110"/>
      <c r="J269" s="31"/>
      <c r="K269" s="31"/>
      <c r="L269" s="31"/>
      <c r="M269" s="31"/>
      <c r="N269" s="31"/>
      <c r="O269" s="31"/>
      <c r="P269" s="31"/>
      <c r="Q269" s="31"/>
      <c r="R269" s="133"/>
      <c r="S269" s="31"/>
      <c r="T269" s="31"/>
      <c r="U269" s="31"/>
      <c r="V269" s="31"/>
      <c r="W269" s="31"/>
    </row>
    <row r="270" spans="1:23" outlineLevel="1">
      <c r="B270" s="5" t="s">
        <v>175</v>
      </c>
      <c r="H270" s="110"/>
      <c r="J270" s="31"/>
      <c r="K270" s="31"/>
      <c r="L270" s="31"/>
      <c r="M270" s="31"/>
      <c r="N270" s="31"/>
      <c r="O270" s="31"/>
      <c r="P270" s="31"/>
      <c r="Q270" s="31"/>
      <c r="R270" s="133"/>
      <c r="S270" s="31"/>
      <c r="T270" s="31"/>
      <c r="U270" s="31"/>
      <c r="V270" s="31"/>
      <c r="W270" s="31"/>
    </row>
    <row r="271" spans="1:23" outlineLevel="1">
      <c r="C271" s="6" t="s">
        <v>171</v>
      </c>
      <c r="H271" s="110"/>
      <c r="J271" s="31"/>
      <c r="K271" s="31">
        <f ca="1">J277</f>
        <v>0</v>
      </c>
      <c r="L271" s="31">
        <f t="shared" ref="L271" ca="1" si="133">K277</f>
        <v>0</v>
      </c>
      <c r="M271" s="31">
        <f t="shared" ref="M271:P271" ca="1" si="134">L277</f>
        <v>0</v>
      </c>
      <c r="N271" s="31">
        <f t="shared" ca="1" si="134"/>
        <v>0</v>
      </c>
      <c r="O271" s="31">
        <f t="shared" ca="1" si="134"/>
        <v>0</v>
      </c>
      <c r="P271" s="31">
        <f t="shared" ca="1" si="134"/>
        <v>0</v>
      </c>
      <c r="Q271" s="31"/>
      <c r="R271" s="133">
        <f ca="1">INDEX(L277:Q277,MATCH($R$229,$L$230:$Q$230,0))</f>
        <v>0</v>
      </c>
      <c r="S271" s="31"/>
      <c r="T271" s="31"/>
      <c r="U271" s="31"/>
      <c r="V271" s="31"/>
      <c r="W271" s="31"/>
    </row>
    <row r="272" spans="1:23" outlineLevel="1">
      <c r="C272" s="6" t="s">
        <v>173</v>
      </c>
      <c r="H272" s="110"/>
      <c r="J272" s="31"/>
      <c r="K272" s="31">
        <f ca="1">K271*K226*stub</f>
        <v>0</v>
      </c>
      <c r="L272" s="31">
        <f t="shared" ref="L272:P272" ca="1" si="135">L271*L226</f>
        <v>0</v>
      </c>
      <c r="M272" s="31">
        <f t="shared" ca="1" si="135"/>
        <v>0</v>
      </c>
      <c r="N272" s="31">
        <f t="shared" ca="1" si="135"/>
        <v>0</v>
      </c>
      <c r="O272" s="31">
        <f t="shared" ca="1" si="135"/>
        <v>0</v>
      </c>
      <c r="P272" s="31">
        <f t="shared" ca="1" si="135"/>
        <v>0</v>
      </c>
      <c r="Q272" s="31"/>
      <c r="R272" s="133">
        <f ca="1">(1-stub)*INDEX($L272:$Q272,MATCH(EDATE($R$229,12),$L$230:$Q$230,0))</f>
        <v>0</v>
      </c>
      <c r="S272" s="31"/>
      <c r="T272" s="31"/>
      <c r="U272" s="31"/>
      <c r="V272" s="31"/>
      <c r="W272" s="31"/>
    </row>
    <row r="273" spans="1:23" outlineLevel="1">
      <c r="C273" s="6" t="s">
        <v>170</v>
      </c>
      <c r="H273" s="110"/>
      <c r="J273" s="31"/>
      <c r="K273" s="106">
        <v>0</v>
      </c>
      <c r="L273" s="106">
        <v>0</v>
      </c>
      <c r="M273" s="106">
        <v>0</v>
      </c>
      <c r="N273" s="106">
        <v>0</v>
      </c>
      <c r="O273" s="106">
        <v>0</v>
      </c>
      <c r="P273" s="106">
        <v>0</v>
      </c>
      <c r="Q273" s="106"/>
      <c r="R273" s="135">
        <v>0</v>
      </c>
      <c r="S273" s="31"/>
      <c r="T273" s="31"/>
      <c r="U273" s="31"/>
      <c r="V273" s="31"/>
      <c r="W273" s="31"/>
    </row>
    <row r="274" spans="1:23" outlineLevel="1">
      <c r="C274" s="6" t="s">
        <v>174</v>
      </c>
      <c r="H274" s="110">
        <f>L47</f>
        <v>1</v>
      </c>
      <c r="J274" s="31"/>
      <c r="K274" s="31">
        <f ca="1">-K272*$H$274</f>
        <v>0</v>
      </c>
      <c r="L274" s="31">
        <f t="shared" ref="L274" ca="1" si="136">-L272*$H$274</f>
        <v>0</v>
      </c>
      <c r="M274" s="31">
        <f t="shared" ref="M274:P274" ca="1" si="137">-M272*$H$274</f>
        <v>0</v>
      </c>
      <c r="N274" s="31">
        <f t="shared" ca="1" si="137"/>
        <v>0</v>
      </c>
      <c r="O274" s="31">
        <f t="shared" ca="1" si="137"/>
        <v>0</v>
      </c>
      <c r="P274" s="31">
        <f t="shared" ca="1" si="137"/>
        <v>0</v>
      </c>
      <c r="Q274" s="31"/>
      <c r="R274" s="133">
        <f ca="1">-R272*$H$274</f>
        <v>0</v>
      </c>
      <c r="S274" s="31"/>
      <c r="T274" s="31"/>
      <c r="U274" s="31"/>
      <c r="V274" s="31"/>
      <c r="W274" s="31"/>
    </row>
    <row r="275" spans="1:23" outlineLevel="1">
      <c r="C275" s="6" t="s">
        <v>118</v>
      </c>
      <c r="H275" s="110">
        <f>$M$47</f>
        <v>0</v>
      </c>
      <c r="J275" s="31"/>
      <c r="K275" s="31">
        <f ca="1">-(MAX($J$277*$H$275,K271))*stub</f>
        <v>0</v>
      </c>
      <c r="L275" s="31">
        <f t="shared" ref="L275:P275" ca="1" si="138">-(MAX($J$277*$H$275,L271))</f>
        <v>0</v>
      </c>
      <c r="M275" s="31">
        <f t="shared" ca="1" si="138"/>
        <v>0</v>
      </c>
      <c r="N275" s="31">
        <f t="shared" ca="1" si="138"/>
        <v>0</v>
      </c>
      <c r="O275" s="31">
        <f t="shared" ca="1" si="138"/>
        <v>0</v>
      </c>
      <c r="P275" s="31">
        <f t="shared" ca="1" si="138"/>
        <v>0</v>
      </c>
      <c r="Q275" s="31"/>
      <c r="R275" s="133">
        <f ca="1">(1-stub)*INDEX($L275:$Q275,MATCH(EDATE($R$229,12),$L$230:$Q$230,0))</f>
        <v>0</v>
      </c>
      <c r="S275" s="31"/>
      <c r="T275" s="31"/>
      <c r="U275" s="31"/>
      <c r="V275" s="31"/>
      <c r="W275" s="31"/>
    </row>
    <row r="276" spans="1:23" outlineLevel="1">
      <c r="C276" s="6" t="s">
        <v>120</v>
      </c>
      <c r="J276" s="31"/>
      <c r="K276" s="31">
        <f t="shared" ref="K276:P276" ca="1" si="139">-K243</f>
        <v>0</v>
      </c>
      <c r="L276" s="31">
        <f t="shared" ca="1" si="139"/>
        <v>0</v>
      </c>
      <c r="M276" s="31">
        <f t="shared" ca="1" si="139"/>
        <v>0</v>
      </c>
      <c r="N276" s="31">
        <f t="shared" ca="1" si="139"/>
        <v>0</v>
      </c>
      <c r="O276" s="31">
        <f t="shared" ca="1" si="139"/>
        <v>0</v>
      </c>
      <c r="P276" s="31">
        <f t="shared" ca="1" si="139"/>
        <v>0</v>
      </c>
      <c r="Q276" s="31"/>
      <c r="R276" s="133">
        <f ca="1">(1-stub)*INDEX($L276:$Q276,MATCH(EDATE($R$229,12),$L$230:$Q$230,0))</f>
        <v>0</v>
      </c>
      <c r="S276" s="31"/>
      <c r="T276" s="31"/>
      <c r="U276" s="31"/>
      <c r="V276" s="31"/>
      <c r="W276" s="31"/>
    </row>
    <row r="277" spans="1:23" outlineLevel="1">
      <c r="C277" s="6" t="s">
        <v>172</v>
      </c>
      <c r="J277" s="34">
        <f ca="1">-I55</f>
        <v>0</v>
      </c>
      <c r="K277" s="34">
        <f ca="1">SUM(K271:K276)</f>
        <v>0</v>
      </c>
      <c r="L277" s="34">
        <f t="shared" ref="L277" ca="1" si="140">SUM(L271:L276)</f>
        <v>0</v>
      </c>
      <c r="M277" s="34">
        <f t="shared" ref="M277:R277" ca="1" si="141">SUM(M271:M276)</f>
        <v>0</v>
      </c>
      <c r="N277" s="34">
        <f t="shared" ca="1" si="141"/>
        <v>0</v>
      </c>
      <c r="O277" s="34">
        <f t="shared" ca="1" si="141"/>
        <v>0</v>
      </c>
      <c r="P277" s="34">
        <f t="shared" ca="1" si="141"/>
        <v>0</v>
      </c>
      <c r="Q277" s="34"/>
      <c r="R277" s="134">
        <f t="shared" ca="1" si="141"/>
        <v>0</v>
      </c>
      <c r="S277" s="31"/>
      <c r="T277" s="31"/>
      <c r="U277" s="31"/>
      <c r="V277" s="31"/>
      <c r="W277" s="31"/>
    </row>
    <row r="278" spans="1:23">
      <c r="J278" s="31"/>
      <c r="K278" s="31"/>
      <c r="L278" s="31"/>
      <c r="M278" s="31"/>
      <c r="N278" s="31"/>
      <c r="O278" s="31"/>
      <c r="P278" s="31"/>
      <c r="Q278" s="31"/>
      <c r="R278" s="133"/>
      <c r="S278" s="31"/>
      <c r="T278" s="31"/>
      <c r="U278" s="31"/>
      <c r="V278" s="31"/>
      <c r="W278" s="31"/>
    </row>
    <row r="279" spans="1:23" s="35" customFormat="1">
      <c r="A279" s="2" t="s">
        <v>37</v>
      </c>
      <c r="R279" s="136"/>
    </row>
    <row r="280" spans="1:23" outlineLevel="1">
      <c r="J280" s="31"/>
      <c r="K280" s="31"/>
      <c r="L280" s="31"/>
      <c r="M280" s="31"/>
      <c r="N280" s="31"/>
      <c r="O280" s="31"/>
      <c r="P280" s="31"/>
      <c r="Q280" s="31"/>
      <c r="R280" s="133"/>
      <c r="S280" s="31"/>
      <c r="T280" s="31"/>
      <c r="U280" s="31"/>
      <c r="V280" s="31"/>
      <c r="W280" s="31"/>
    </row>
    <row r="281" spans="1:23" outlineLevel="1">
      <c r="J281" s="31"/>
      <c r="K281" s="69">
        <f>+L151</f>
        <v>46203</v>
      </c>
      <c r="L281" s="69"/>
      <c r="M281" s="69"/>
      <c r="N281" s="69"/>
      <c r="O281" s="69"/>
      <c r="P281" s="69"/>
      <c r="Q281" s="69"/>
      <c r="R281" s="137"/>
      <c r="W281" s="31"/>
    </row>
    <row r="282" spans="1:23" outlineLevel="1">
      <c r="G282" s="115" t="s">
        <v>194</v>
      </c>
      <c r="J282" s="31"/>
      <c r="K282" s="69">
        <f>+L152</f>
        <v>46387</v>
      </c>
      <c r="L282" s="69">
        <f>+M152</f>
        <v>46752</v>
      </c>
      <c r="M282" s="69">
        <f>+N152</f>
        <v>47118</v>
      </c>
      <c r="N282" s="69">
        <f>+O152</f>
        <v>47483</v>
      </c>
      <c r="O282" s="69">
        <f>+P152</f>
        <v>47848</v>
      </c>
      <c r="P282" s="69">
        <f>+Q152</f>
        <v>48213</v>
      </c>
      <c r="Q282" s="69"/>
      <c r="R282" s="132"/>
      <c r="S282" s="69"/>
      <c r="T282" s="69"/>
      <c r="U282" s="69"/>
      <c r="V282" s="69"/>
      <c r="W282" s="31"/>
    </row>
    <row r="283" spans="1:23" outlineLevel="1">
      <c r="C283" s="6" t="s">
        <v>14</v>
      </c>
      <c r="J283" s="31"/>
      <c r="K283" s="31">
        <f t="shared" ref="K283:P283" si="142">+L153+L154</f>
        <v>5.7392426053626862</v>
      </c>
      <c r="L283" s="31">
        <f t="shared" si="142"/>
        <v>13.521248913202985</v>
      </c>
      <c r="M283" s="31">
        <f t="shared" si="142"/>
        <v>14.22989408805994</v>
      </c>
      <c r="N283" s="31">
        <f t="shared" si="142"/>
        <v>14.838002562284771</v>
      </c>
      <c r="O283" s="31">
        <f t="shared" si="142"/>
        <v>15.532952268538763</v>
      </c>
      <c r="P283" s="31">
        <f t="shared" si="142"/>
        <v>16.232013164173388</v>
      </c>
      <c r="Q283" s="31"/>
      <c r="R283" s="133"/>
      <c r="S283" s="31"/>
      <c r="T283" s="31"/>
      <c r="U283" s="31"/>
      <c r="V283" s="31"/>
      <c r="W283" s="31"/>
    </row>
    <row r="284" spans="1:23" outlineLevel="1">
      <c r="C284" s="6" t="s">
        <v>40</v>
      </c>
      <c r="G284" s="51">
        <v>1</v>
      </c>
      <c r="J284" s="31"/>
      <c r="K284" s="31">
        <f>stub*$G284*INDEX(OpModel_Link!$H$37:$Q$37,MATCH(K$282,OpModel_Link!$H$3:$Q$3))</f>
        <v>-1.5436694942573013</v>
      </c>
      <c r="L284" s="31">
        <f>stub*$G284*INDEX(OpModel_Link!$H$37:$Q$37,MATCH(L$282,OpModel_Link!$H$3:$Q$3))</f>
        <v>-1.6367991932981711</v>
      </c>
      <c r="M284" s="31">
        <f>$G284*INDEX(OpModel_Link!$H$37:$Q$37,MATCH(M$282,OpModel_Link!$H$3:$Q$3))</f>
        <v>-3.3594786517802206</v>
      </c>
      <c r="N284" s="31">
        <f>$G284*INDEX(OpModel_Link!$H$37:$Q$37,MATCH(N$282,OpModel_Link!$H$3:$Q$3))</f>
        <v>-3.5323834234187368</v>
      </c>
      <c r="O284" s="31">
        <f>$G284*INDEX(OpModel_Link!$H$37:$Q$37,MATCH(O$282,OpModel_Link!$H$3:$Q$3))</f>
        <v>-3.6624466030104816</v>
      </c>
      <c r="P284" s="31">
        <f>$G284*INDEX(OpModel_Link!$H$37:$Q$37,MATCH(P$282,OpModel_Link!$H$3:$Q$3))</f>
        <v>-3.651991955007861</v>
      </c>
      <c r="Q284" s="31"/>
      <c r="R284" s="133"/>
      <c r="S284" s="31"/>
      <c r="T284" s="31"/>
      <c r="U284" s="31"/>
      <c r="V284" s="31"/>
      <c r="W284" s="31"/>
    </row>
    <row r="285" spans="1:23" outlineLevel="1">
      <c r="C285" s="6" t="s">
        <v>193</v>
      </c>
      <c r="G285" s="51">
        <v>1</v>
      </c>
      <c r="J285" s="31"/>
      <c r="K285" s="31">
        <f ca="1">-stub*$I$34*$G285</f>
        <v>-0.29084586212886504</v>
      </c>
      <c r="L285" s="31">
        <f ca="1">-stub*$I$34*$G285</f>
        <v>-0.29084586212886504</v>
      </c>
      <c r="M285" s="31">
        <f ca="1">-$I$34*$G285</f>
        <v>-0.58169172425773008</v>
      </c>
      <c r="N285" s="31">
        <f ca="1">-$I$34*$G285</f>
        <v>-0.58169172425773008</v>
      </c>
      <c r="O285" s="31">
        <f ca="1">-$I$34*$G285</f>
        <v>-0.58169172425773008</v>
      </c>
      <c r="P285" s="31">
        <f ca="1">-$I$34*$G285</f>
        <v>-0.58169172425773008</v>
      </c>
      <c r="Q285" s="31"/>
      <c r="R285" s="133"/>
      <c r="S285" s="31"/>
      <c r="T285" s="31"/>
      <c r="U285" s="31"/>
      <c r="V285" s="31"/>
      <c r="W285" s="31"/>
    </row>
    <row r="286" spans="1:23" outlineLevel="1">
      <c r="C286" s="6" t="s">
        <v>202</v>
      </c>
      <c r="G286" s="51">
        <v>0.3</v>
      </c>
      <c r="J286" s="31"/>
      <c r="K286" s="31">
        <f t="shared" ref="K286:P286" ca="1" si="143">+MAX(SUM(K246,K252,K263,K272),MIN(-2,-$G286*SUM(L153:L154)))</f>
        <v>-2</v>
      </c>
      <c r="L286" s="31">
        <f t="shared" ca="1" si="143"/>
        <v>-4.056374673960895</v>
      </c>
      <c r="M286" s="31">
        <f t="shared" ca="1" si="143"/>
        <v>-4.2689682264179813</v>
      </c>
      <c r="N286" s="31">
        <f t="shared" ca="1" si="143"/>
        <v>-4.4514007686854313</v>
      </c>
      <c r="O286" s="31">
        <f t="shared" ca="1" si="143"/>
        <v>-4.6598856805616284</v>
      </c>
      <c r="P286" s="31">
        <f t="shared" ca="1" si="143"/>
        <v>-4.8696039492520162</v>
      </c>
      <c r="Q286" s="31"/>
      <c r="R286" s="133"/>
      <c r="S286" s="31"/>
      <c r="T286" s="31"/>
      <c r="U286" s="31"/>
      <c r="V286" s="31"/>
      <c r="W286" s="31"/>
    </row>
    <row r="287" spans="1:23" outlineLevel="1">
      <c r="C287" s="6" t="s">
        <v>195</v>
      </c>
      <c r="G287" s="51">
        <v>1</v>
      </c>
      <c r="J287" s="31"/>
      <c r="K287" s="31">
        <f>$G287*INDEX(OpModel_Link!$H$62:$Q$62,MATCH(K$282,OpModel_Link!$H$3:$Q$3))</f>
        <v>0</v>
      </c>
      <c r="L287" s="31">
        <f>$G287*INDEX(OpModel_Link!$H$62:$Q$62,MATCH(L$282,OpModel_Link!$H$3:$Q$3))</f>
        <v>0</v>
      </c>
      <c r="M287" s="31">
        <f>$G287*INDEX(OpModel_Link!$H$62:$Q$62,MATCH(M$282,OpModel_Link!$H$3:$Q$3))</f>
        <v>0</v>
      </c>
      <c r="N287" s="31">
        <f>$G287*INDEX(OpModel_Link!$H$62:$Q$62,MATCH(N$282,OpModel_Link!$H$3:$Q$3))</f>
        <v>0</v>
      </c>
      <c r="O287" s="31">
        <f>$G287*INDEX(OpModel_Link!$H$62:$Q$62,MATCH(O$282,OpModel_Link!$H$3:$Q$3))</f>
        <v>0</v>
      </c>
      <c r="P287" s="31">
        <f>$G287*INDEX(OpModel_Link!$H$62:$Q$62,MATCH(P$282,OpModel_Link!$H$3:$Q$3))</f>
        <v>0</v>
      </c>
      <c r="Q287" s="31"/>
      <c r="R287" s="133"/>
      <c r="S287" s="31"/>
      <c r="T287" s="31"/>
      <c r="U287" s="31"/>
      <c r="V287" s="31"/>
      <c r="W287" s="31"/>
    </row>
    <row r="288" spans="1:23" s="5" customFormat="1" outlineLevel="1">
      <c r="A288" s="30"/>
      <c r="C288" s="6" t="s">
        <v>203</v>
      </c>
      <c r="J288" s="105"/>
      <c r="K288" s="31">
        <f ca="1">+IFERROR(K296,0)</f>
        <v>0</v>
      </c>
      <c r="L288" s="31">
        <f t="shared" ref="L288:P288" ca="1" si="144">+IFERROR(L296,0)</f>
        <v>0</v>
      </c>
      <c r="M288" s="31">
        <f t="shared" ca="1" si="144"/>
        <v>0</v>
      </c>
      <c r="N288" s="31">
        <f t="shared" ca="1" si="144"/>
        <v>0</v>
      </c>
      <c r="O288" s="31">
        <f t="shared" ca="1" si="144"/>
        <v>0</v>
      </c>
      <c r="P288" s="31">
        <f t="shared" ca="1" si="144"/>
        <v>0</v>
      </c>
      <c r="Q288" s="31"/>
      <c r="R288" s="138"/>
      <c r="S288" s="105"/>
      <c r="T288" s="105"/>
      <c r="U288" s="105"/>
      <c r="V288" s="105"/>
      <c r="W288" s="105"/>
    </row>
    <row r="289" spans="1:23" outlineLevel="1">
      <c r="B289" s="6" t="s">
        <v>196</v>
      </c>
      <c r="G289" s="99" t="s">
        <v>213</v>
      </c>
      <c r="J289" s="31"/>
      <c r="K289" s="34">
        <f ca="1">SUM(K283:K288)</f>
        <v>1.9047272489765197</v>
      </c>
      <c r="L289" s="34">
        <f ca="1">SUM(L283:L288)</f>
        <v>7.5372291838150547</v>
      </c>
      <c r="M289" s="34">
        <f t="shared" ref="M289:P289" ca="1" si="145">SUM(M283:M288)</f>
        <v>6.0197554856040076</v>
      </c>
      <c r="N289" s="34">
        <f t="shared" ca="1" si="145"/>
        <v>6.2725266459228735</v>
      </c>
      <c r="O289" s="34">
        <f t="shared" ca="1" si="145"/>
        <v>6.6289282607089222</v>
      </c>
      <c r="P289" s="34">
        <f t="shared" ca="1" si="145"/>
        <v>7.1287255356557795</v>
      </c>
      <c r="Q289" s="34"/>
      <c r="R289" s="133"/>
      <c r="S289" s="31"/>
      <c r="T289" s="31"/>
      <c r="U289" s="31"/>
      <c r="V289" s="31"/>
      <c r="W289" s="31"/>
    </row>
    <row r="290" spans="1:23" outlineLevel="1">
      <c r="B290" s="6" t="s">
        <v>201</v>
      </c>
      <c r="G290" s="103">
        <f>+I12</f>
        <v>0.25</v>
      </c>
      <c r="J290" s="31"/>
      <c r="K290" s="31">
        <f ca="1">-K289*$G290</f>
        <v>-0.47618181224412992</v>
      </c>
      <c r="L290" s="31">
        <f ca="1">-L289*$G290</f>
        <v>-1.8843072959537637</v>
      </c>
      <c r="M290" s="31">
        <f t="shared" ref="M290:P290" ca="1" si="146">-M289*$G290</f>
        <v>-1.5049388714010019</v>
      </c>
      <c r="N290" s="31">
        <f t="shared" ca="1" si="146"/>
        <v>-1.5681316614807184</v>
      </c>
      <c r="O290" s="31">
        <f t="shared" ca="1" si="146"/>
        <v>-1.6572320651772305</v>
      </c>
      <c r="P290" s="31">
        <f t="shared" ca="1" si="146"/>
        <v>-1.7821813839139449</v>
      </c>
      <c r="Q290" s="31"/>
      <c r="R290" s="133"/>
      <c r="S290" s="31"/>
      <c r="T290" s="31"/>
      <c r="U290" s="31"/>
      <c r="V290" s="31"/>
      <c r="W290" s="31"/>
    </row>
    <row r="291" spans="1:23" outlineLevel="1">
      <c r="J291" s="31"/>
      <c r="K291" s="31"/>
      <c r="L291" s="31"/>
      <c r="M291" s="31"/>
      <c r="N291" s="31"/>
      <c r="O291" s="31"/>
      <c r="P291" s="31"/>
      <c r="Q291" s="31"/>
      <c r="R291" s="133"/>
      <c r="S291" s="31"/>
      <c r="T291" s="31"/>
      <c r="U291" s="31"/>
      <c r="V291" s="31"/>
      <c r="W291" s="31"/>
    </row>
    <row r="292" spans="1:23" outlineLevel="1">
      <c r="J292" s="31"/>
      <c r="K292" s="31"/>
      <c r="L292" s="31"/>
      <c r="M292" s="31"/>
      <c r="N292" s="31"/>
      <c r="O292" s="31"/>
      <c r="P292" s="31"/>
      <c r="Q292" s="31"/>
      <c r="R292" s="179" t="s">
        <v>230</v>
      </c>
      <c r="S292" s="31"/>
      <c r="T292" s="31"/>
      <c r="U292" s="31"/>
      <c r="V292" s="31"/>
      <c r="W292" s="31"/>
    </row>
    <row r="293" spans="1:23" outlineLevel="1">
      <c r="B293" s="5" t="s">
        <v>197</v>
      </c>
      <c r="J293" s="31"/>
      <c r="K293" s="31"/>
      <c r="L293" s="31"/>
      <c r="M293" s="31"/>
      <c r="N293" s="31"/>
      <c r="O293" s="31"/>
      <c r="P293" s="31"/>
      <c r="Q293" s="31"/>
      <c r="R293" s="133"/>
      <c r="S293" s="31"/>
      <c r="T293" s="31"/>
      <c r="U293" s="31"/>
      <c r="V293" s="31"/>
      <c r="W293" s="31"/>
    </row>
    <row r="294" spans="1:23" outlineLevel="1">
      <c r="C294" s="6" t="s">
        <v>198</v>
      </c>
      <c r="J294" s="31"/>
      <c r="K294" s="31">
        <f>J297</f>
        <v>0</v>
      </c>
      <c r="L294" s="31">
        <f t="shared" ref="L294:P294" ca="1" si="147">K297</f>
        <v>0</v>
      </c>
      <c r="M294" s="31">
        <f t="shared" ca="1" si="147"/>
        <v>0</v>
      </c>
      <c r="N294" s="31">
        <f t="shared" ca="1" si="147"/>
        <v>0</v>
      </c>
      <c r="O294" s="31">
        <f t="shared" ca="1" si="147"/>
        <v>0</v>
      </c>
      <c r="P294" s="31">
        <f t="shared" ca="1" si="147"/>
        <v>0</v>
      </c>
      <c r="Q294" s="31"/>
      <c r="R294" s="133"/>
      <c r="S294" s="31"/>
      <c r="T294" s="31"/>
      <c r="U294" s="31"/>
      <c r="V294" s="31"/>
      <c r="W294" s="31"/>
    </row>
    <row r="295" spans="1:23" outlineLevel="1">
      <c r="C295" s="6" t="s">
        <v>199</v>
      </c>
      <c r="J295" s="31"/>
      <c r="K295" s="31" t="str">
        <f ca="1">IF(K290&lt;0,"",K290)</f>
        <v/>
      </c>
      <c r="L295" s="31" t="str">
        <f t="shared" ref="L295:P295" ca="1" si="148">IF(L290&lt;0,"",L290)</f>
        <v/>
      </c>
      <c r="M295" s="31" t="str">
        <f t="shared" ca="1" si="148"/>
        <v/>
      </c>
      <c r="N295" s="31" t="str">
        <f t="shared" ca="1" si="148"/>
        <v/>
      </c>
      <c r="O295" s="31" t="str">
        <f t="shared" ca="1" si="148"/>
        <v/>
      </c>
      <c r="P295" s="31" t="str">
        <f t="shared" ca="1" si="148"/>
        <v/>
      </c>
      <c r="Q295" s="31"/>
      <c r="R295" s="133"/>
      <c r="S295" s="31"/>
      <c r="T295" s="31"/>
      <c r="U295" s="31"/>
      <c r="V295" s="31"/>
      <c r="W295" s="31"/>
    </row>
    <row r="296" spans="1:23" outlineLevel="1">
      <c r="C296" s="6" t="s">
        <v>200</v>
      </c>
      <c r="J296" s="31"/>
      <c r="K296" s="31">
        <f ca="1">MIN(J297,ABS(K290))</f>
        <v>0</v>
      </c>
      <c r="L296" s="31">
        <f t="shared" ref="L296:P296" ca="1" si="149">MIN(K297,ABS(L290))</f>
        <v>0</v>
      </c>
      <c r="M296" s="31">
        <f t="shared" ca="1" si="149"/>
        <v>0</v>
      </c>
      <c r="N296" s="31">
        <f t="shared" ca="1" si="149"/>
        <v>0</v>
      </c>
      <c r="O296" s="31">
        <f t="shared" ca="1" si="149"/>
        <v>0</v>
      </c>
      <c r="P296" s="31">
        <f t="shared" ca="1" si="149"/>
        <v>0</v>
      </c>
      <c r="Q296" s="31"/>
      <c r="R296" s="133"/>
      <c r="S296" s="31"/>
      <c r="T296" s="31"/>
      <c r="U296" s="31"/>
      <c r="V296" s="31"/>
      <c r="W296" s="31"/>
    </row>
    <row r="297" spans="1:23" outlineLevel="1">
      <c r="C297" s="6" t="s">
        <v>172</v>
      </c>
      <c r="J297" s="111">
        <v>0</v>
      </c>
      <c r="K297" s="34">
        <f ca="1">SUM(K294:K296)</f>
        <v>0</v>
      </c>
      <c r="L297" s="34">
        <f t="shared" ref="L297:P297" ca="1" si="150">SUM(L294:L296)</f>
        <v>0</v>
      </c>
      <c r="M297" s="34">
        <f t="shared" ca="1" si="150"/>
        <v>0</v>
      </c>
      <c r="N297" s="34">
        <f t="shared" ca="1" si="150"/>
        <v>0</v>
      </c>
      <c r="O297" s="34">
        <f t="shared" ca="1" si="150"/>
        <v>0</v>
      </c>
      <c r="P297" s="34">
        <f t="shared" ca="1" si="150"/>
        <v>0</v>
      </c>
      <c r="Q297" s="34"/>
      <c r="R297" s="133"/>
      <c r="S297" s="31"/>
      <c r="T297" s="31"/>
      <c r="U297" s="31"/>
      <c r="V297" s="31"/>
      <c r="W297" s="31"/>
    </row>
    <row r="298" spans="1:23" outlineLevel="1">
      <c r="J298" s="31"/>
      <c r="K298" s="31"/>
      <c r="L298" s="31"/>
      <c r="M298" s="31"/>
      <c r="N298" s="31"/>
      <c r="O298" s="31"/>
      <c r="P298" s="31"/>
      <c r="Q298" s="31"/>
      <c r="R298" s="133"/>
      <c r="S298" s="31"/>
      <c r="T298" s="31"/>
      <c r="U298" s="31"/>
      <c r="V298" s="31"/>
      <c r="W298" s="31"/>
    </row>
    <row r="299" spans="1:23">
      <c r="J299" s="31"/>
      <c r="K299" s="31"/>
      <c r="L299" s="31"/>
      <c r="M299" s="31"/>
      <c r="N299" s="31"/>
      <c r="O299" s="31"/>
      <c r="P299" s="31"/>
      <c r="Q299" s="31"/>
      <c r="R299" s="133"/>
      <c r="S299" s="31"/>
      <c r="T299" s="31"/>
      <c r="U299" s="31"/>
      <c r="V299" s="31"/>
      <c r="W299" s="31"/>
    </row>
    <row r="300" spans="1:23" s="35" customFormat="1">
      <c r="A300" s="2" t="s">
        <v>211</v>
      </c>
      <c r="R300" s="136"/>
    </row>
    <row r="301" spans="1:23" outlineLevel="1">
      <c r="J301" s="31"/>
      <c r="K301" s="83"/>
      <c r="L301" s="83"/>
      <c r="M301" s="83"/>
      <c r="N301" s="83"/>
      <c r="O301" s="83"/>
      <c r="P301" s="83"/>
      <c r="Q301" s="83"/>
      <c r="R301" s="133"/>
      <c r="S301" s="31"/>
      <c r="T301" s="31"/>
      <c r="U301" s="31"/>
      <c r="V301" s="31"/>
      <c r="W301" s="31"/>
    </row>
    <row r="302" spans="1:23" outlineLevel="1">
      <c r="J302" s="31"/>
      <c r="K302" s="69">
        <f>+L151</f>
        <v>46203</v>
      </c>
      <c r="L302" s="69"/>
      <c r="M302" s="69" t="str">
        <f ca="1">IF($G$127=M247,$G$126,"")</f>
        <v/>
      </c>
      <c r="N302" s="69" t="str">
        <f ca="1">IF($G$127=N247,$G$126,"")</f>
        <v/>
      </c>
      <c r="O302" s="69" t="str">
        <f ca="1">IF($G$127=O247,$G$126,"")</f>
        <v/>
      </c>
      <c r="P302" s="69" t="str">
        <f ca="1">IF($G$127=P247,$G$126,"")</f>
        <v/>
      </c>
      <c r="Q302" s="69"/>
      <c r="R302" s="132">
        <f>R151</f>
        <v>47848</v>
      </c>
      <c r="S302" s="31"/>
      <c r="T302" s="31"/>
      <c r="U302" s="31"/>
      <c r="V302" s="31"/>
      <c r="W302" s="31"/>
    </row>
    <row r="303" spans="1:23" outlineLevel="1">
      <c r="B303" s="5" t="s">
        <v>209</v>
      </c>
      <c r="J303" s="31"/>
      <c r="K303" s="69">
        <f>+L152</f>
        <v>46387</v>
      </c>
      <c r="L303" s="69">
        <f>+M152</f>
        <v>46752</v>
      </c>
      <c r="M303" s="69">
        <f>+N152</f>
        <v>47118</v>
      </c>
      <c r="N303" s="69">
        <f>+O152</f>
        <v>47483</v>
      </c>
      <c r="O303" s="69">
        <f>+P152</f>
        <v>47848</v>
      </c>
      <c r="P303" s="69">
        <f>+Q152</f>
        <v>48213</v>
      </c>
      <c r="Q303" s="69"/>
      <c r="R303" s="132">
        <f>R152</f>
        <v>48029</v>
      </c>
      <c r="S303" s="31"/>
      <c r="T303" s="31"/>
      <c r="U303" s="31"/>
      <c r="V303" s="31"/>
      <c r="W303" s="31"/>
    </row>
    <row r="304" spans="1:23" outlineLevel="1">
      <c r="C304" s="6" t="s">
        <v>171</v>
      </c>
      <c r="J304" s="31"/>
      <c r="K304" s="31">
        <f ca="1">J307</f>
        <v>76.571105030024839</v>
      </c>
      <c r="L304" s="31">
        <f t="shared" ref="L304:P304" ca="1" si="151">K307</f>
        <v>80.399660281526081</v>
      </c>
      <c r="M304" s="31">
        <f t="shared" ca="1" si="151"/>
        <v>88.439626309678687</v>
      </c>
      <c r="N304" s="31">
        <f t="shared" ca="1" si="151"/>
        <v>97.283588940646553</v>
      </c>
      <c r="O304" s="31">
        <f t="shared" ca="1" si="151"/>
        <v>107.01194783471121</v>
      </c>
      <c r="P304" s="31">
        <f t="shared" ca="1" si="151"/>
        <v>117.71314261818233</v>
      </c>
      <c r="Q304" s="31"/>
      <c r="R304" s="133">
        <f ca="1">INDEX(L307:Q307,MATCH($R$229,$L$230:$Q$230,0))</f>
        <v>117.71314261818233</v>
      </c>
      <c r="S304" s="31"/>
      <c r="T304" s="31"/>
      <c r="U304" s="31"/>
      <c r="V304" s="31"/>
      <c r="W304" s="31"/>
    </row>
    <row r="305" spans="3:23" outlineLevel="1">
      <c r="C305" s="6" t="s">
        <v>210</v>
      </c>
      <c r="G305" s="108">
        <f>+$I$66</f>
        <v>0.1</v>
      </c>
      <c r="J305" s="31"/>
      <c r="K305" s="31">
        <f ca="1">stub*$G305*K304</f>
        <v>3.8285552515012422</v>
      </c>
      <c r="L305" s="31">
        <f ca="1">$G305*L304</f>
        <v>8.0399660281526089</v>
      </c>
      <c r="M305" s="31">
        <f ca="1">$G305*M304</f>
        <v>8.8439626309678694</v>
      </c>
      <c r="N305" s="31">
        <f t="shared" ref="N305:P305" ca="1" si="152">$G305*N304</f>
        <v>9.7283588940646553</v>
      </c>
      <c r="O305" s="31">
        <f t="shared" ca="1" si="152"/>
        <v>10.701194783471122</v>
      </c>
      <c r="P305" s="31">
        <f t="shared" ca="1" si="152"/>
        <v>11.771314261818233</v>
      </c>
      <c r="Q305" s="31"/>
      <c r="R305" s="133">
        <f ca="1">(1-stub)*INDEX($L305:$Q305,MATCH(EDATE($R$302,12),$L$303:$Q$303,0))</f>
        <v>5.8856571309091166</v>
      </c>
      <c r="S305" s="31"/>
      <c r="T305" s="31"/>
      <c r="U305" s="31"/>
      <c r="V305" s="31"/>
      <c r="W305" s="31"/>
    </row>
    <row r="306" spans="3:23" outlineLevel="1">
      <c r="C306" s="6" t="s">
        <v>183</v>
      </c>
      <c r="G306" s="107">
        <f>+H64</f>
        <v>0</v>
      </c>
      <c r="J306" s="31"/>
      <c r="K306" s="31">
        <f t="shared" ref="K306:P306" ca="1" si="153">-$G$306*MAX(K244-Min_cash,0)</f>
        <v>0</v>
      </c>
      <c r="L306" s="31">
        <f t="shared" ca="1" si="153"/>
        <v>0</v>
      </c>
      <c r="M306" s="31">
        <f t="shared" ca="1" si="153"/>
        <v>0</v>
      </c>
      <c r="N306" s="31">
        <f t="shared" ca="1" si="153"/>
        <v>0</v>
      </c>
      <c r="O306" s="31">
        <f t="shared" ca="1" si="153"/>
        <v>0</v>
      </c>
      <c r="P306" s="31">
        <f t="shared" ca="1" si="153"/>
        <v>0</v>
      </c>
      <c r="Q306" s="31"/>
      <c r="R306" s="133">
        <f ca="1">(1-stub)*INDEX($L306:$Q306,MATCH(EDATE($R$302,12),$L$303:$Q$303,0))</f>
        <v>0</v>
      </c>
      <c r="S306" s="31"/>
      <c r="T306" s="31"/>
      <c r="U306" s="31"/>
      <c r="V306" s="31"/>
      <c r="W306" s="31"/>
    </row>
    <row r="307" spans="3:23" outlineLevel="1">
      <c r="C307" s="6" t="s">
        <v>172</v>
      </c>
      <c r="J307" s="34">
        <f ca="1">N75</f>
        <v>76.571105030024839</v>
      </c>
      <c r="K307" s="34">
        <f ca="1">SUM(K304:K306)</f>
        <v>80.399660281526081</v>
      </c>
      <c r="L307" s="34">
        <f ca="1">SUM(L304:L306)</f>
        <v>88.439626309678687</v>
      </c>
      <c r="M307" s="34">
        <f t="shared" ref="M307:P307" ca="1" si="154">SUM(M304:M306)</f>
        <v>97.283588940646553</v>
      </c>
      <c r="N307" s="34">
        <f t="shared" ca="1" si="154"/>
        <v>107.01194783471121</v>
      </c>
      <c r="O307" s="34">
        <f t="shared" ca="1" si="154"/>
        <v>117.71314261818233</v>
      </c>
      <c r="P307" s="34">
        <f t="shared" ca="1" si="154"/>
        <v>129.48445688000055</v>
      </c>
      <c r="Q307" s="34"/>
      <c r="R307" s="134">
        <f ca="1">SUM(R304:R306)</f>
        <v>123.59879974909146</v>
      </c>
      <c r="S307" s="31"/>
      <c r="T307" s="31"/>
      <c r="U307" s="31"/>
      <c r="V307" s="31"/>
      <c r="W307" s="31"/>
    </row>
    <row r="308" spans="3:23"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</row>
    <row r="309" spans="3:23"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</row>
    <row r="310" spans="3:23" hidden="1"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</row>
    <row r="311" spans="3:23" hidden="1"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</row>
    <row r="312" spans="3:23" hidden="1"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</row>
    <row r="313" spans="3:23" hidden="1"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</row>
    <row r="314" spans="3:23" hidden="1"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</row>
    <row r="315" spans="3:23" hidden="1"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</row>
    <row r="316" spans="3:23" hidden="1"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</row>
    <row r="317" spans="3:23" hidden="1"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</row>
    <row r="318" spans="3:23" hidden="1"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</row>
    <row r="319" spans="3:23" hidden="1"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</row>
    <row r="320" spans="3:23" hidden="1"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</row>
    <row r="321" spans="10:23" hidden="1"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</row>
    <row r="322" spans="10:23" hidden="1"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</row>
    <row r="323" spans="10:23" hidden="1"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</row>
    <row r="324" spans="10:23" hidden="1"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</row>
    <row r="325" spans="10:23" hidden="1"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</row>
    <row r="326" spans="10:23" hidden="1"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</row>
    <row r="327" spans="10:23" hidden="1"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</row>
    <row r="328" spans="10:23" hidden="1"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</row>
    <row r="329" spans="10:23" hidden="1"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</row>
    <row r="330" spans="10:23" hidden="1"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</row>
    <row r="331" spans="10:23" hidden="1"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</row>
    <row r="332" spans="10:23" hidden="1"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</row>
    <row r="333" spans="10:23" hidden="1"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</row>
    <row r="334" spans="10:23" hidden="1"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</row>
    <row r="335" spans="10:23" hidden="1"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</row>
    <row r="336" spans="10:23" hidden="1"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</row>
    <row r="337" spans="10:23" hidden="1"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</row>
    <row r="338" spans="10:23" hidden="1"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</row>
    <row r="339" spans="10:23" hidden="1"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</row>
    <row r="340" spans="10:23" hidden="1"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</row>
    <row r="341" spans="10:23" hidden="1"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</row>
    <row r="342" spans="10:23" hidden="1"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</row>
    <row r="343" spans="10:23" hidden="1"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</row>
    <row r="344" spans="10:23" hidden="1"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</row>
    <row r="345" spans="10:23" hidden="1"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</row>
    <row r="346" spans="10:23" hidden="1"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</row>
    <row r="347" spans="10:23" hidden="1"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</row>
    <row r="348" spans="10:23" hidden="1"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</row>
    <row r="349" spans="10:23" hidden="1"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</row>
    <row r="350" spans="10:23" hidden="1"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</row>
    <row r="351" spans="10:23" hidden="1"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</row>
    <row r="352" spans="10:23" hidden="1"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</row>
    <row r="353" spans="10:23" hidden="1"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</row>
    <row r="354" spans="10:23" hidden="1"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</row>
    <row r="355" spans="10:23" hidden="1"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</row>
    <row r="356" spans="10:23" hidden="1"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</row>
    <row r="357" spans="10:23" hidden="1"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</row>
    <row r="358" spans="10:23" hidden="1"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</row>
    <row r="359" spans="10:23" hidden="1"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</row>
    <row r="360" spans="10:23" hidden="1"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</row>
    <row r="361" spans="10:23" hidden="1"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</row>
    <row r="362" spans="10:23" hidden="1"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</row>
    <row r="363" spans="10:23" hidden="1"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</row>
    <row r="364" spans="10:23" hidden="1"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</row>
    <row r="365" spans="10:23" hidden="1"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</row>
    <row r="366" spans="10:23" hidden="1"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</row>
    <row r="367" spans="10:23" hidden="1"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</row>
    <row r="368" spans="10:23" hidden="1"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</row>
    <row r="369" spans="10:23" hidden="1"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</row>
    <row r="370" spans="10:23" hidden="1"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</row>
    <row r="371" spans="10:23" hidden="1"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</row>
    <row r="372" spans="10:23" hidden="1"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</row>
    <row r="373" spans="10:23" hidden="1"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</row>
    <row r="374" spans="10:23" hidden="1"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</row>
    <row r="375" spans="10:23" hidden="1"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</row>
    <row r="376" spans="10:23" hidden="1"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</row>
    <row r="377" spans="10:23" hidden="1"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</row>
    <row r="378" spans="10:23" hidden="1"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</row>
    <row r="379" spans="10:23" hidden="1"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</row>
    <row r="380" spans="10:23" hidden="1"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</row>
    <row r="381" spans="10:23" hidden="1"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</row>
    <row r="382" spans="10:23" hidden="1"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</row>
    <row r="383" spans="10:23" hidden="1"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</row>
    <row r="384" spans="10:23" hidden="1"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</row>
    <row r="385" spans="10:23" hidden="1"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</row>
    <row r="386" spans="10:23" hidden="1"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</row>
    <row r="387" spans="10:23" hidden="1"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</row>
    <row r="388" spans="10:23" hidden="1"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</row>
    <row r="389" spans="10:23" hidden="1"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</row>
    <row r="390" spans="10:23" hidden="1"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</row>
    <row r="391" spans="10:23" hidden="1"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</row>
    <row r="392" spans="10:23" hidden="1"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</row>
    <row r="393" spans="10:23" hidden="1"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</row>
    <row r="394" spans="10:23" hidden="1"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</row>
    <row r="395" spans="10:23" hidden="1"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</row>
    <row r="396" spans="10:23" hidden="1"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</row>
    <row r="397" spans="10:23" hidden="1"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</row>
    <row r="398" spans="10:23" hidden="1"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</row>
    <row r="399" spans="10:23" hidden="1"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</row>
    <row r="400" spans="10:23" hidden="1"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</row>
    <row r="401" spans="10:23" hidden="1"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</row>
    <row r="402" spans="10:23" hidden="1"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</row>
    <row r="403" spans="10:23" hidden="1"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</row>
    <row r="404" spans="10:23" hidden="1"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</row>
    <row r="405" spans="10:23" hidden="1"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</row>
    <row r="406" spans="10:23" hidden="1"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</row>
    <row r="407" spans="10:23" hidden="1"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</row>
    <row r="408" spans="10:23" hidden="1"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</row>
    <row r="409" spans="10:23" hidden="1"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</row>
    <row r="410" spans="10:23" hidden="1"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</row>
    <row r="411" spans="10:23" hidden="1"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</row>
    <row r="412" spans="10:23" hidden="1"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</row>
    <row r="413" spans="10:23" hidden="1"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</row>
    <row r="414" spans="10:23" hidden="1"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</row>
    <row r="415" spans="10:23" hidden="1"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</row>
    <row r="416" spans="10:23" hidden="1"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</row>
    <row r="417" spans="10:23" hidden="1"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</row>
    <row r="418" spans="10:23" hidden="1"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</row>
    <row r="419" spans="10:23" hidden="1"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</row>
    <row r="420" spans="10:23" hidden="1"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</row>
    <row r="421" spans="10:23" hidden="1"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</row>
    <row r="422" spans="10:23" hidden="1"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</row>
    <row r="423" spans="10:23" hidden="1"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</row>
    <row r="424" spans="10:23" hidden="1"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</row>
    <row r="425" spans="10:23" hidden="1"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</row>
    <row r="426" spans="10:23" hidden="1"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</row>
    <row r="427" spans="10:23" hidden="1"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</row>
    <row r="428" spans="10:23" hidden="1"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</row>
    <row r="429" spans="10:23" hidden="1"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</row>
    <row r="430" spans="10:23" hidden="1"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</row>
    <row r="431" spans="10:23" hidden="1"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</row>
    <row r="432" spans="10:23" hidden="1"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</row>
    <row r="433" spans="10:23" hidden="1"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</row>
    <row r="434" spans="10:23" hidden="1"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</row>
    <row r="435" spans="10:23" hidden="1"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</row>
    <row r="436" spans="10:23" hidden="1"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</row>
    <row r="437" spans="10:23" hidden="1"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</row>
    <row r="438" spans="10:23" hidden="1"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</row>
    <row r="439" spans="10:23" hidden="1"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</row>
    <row r="440" spans="10:23" hidden="1"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</row>
    <row r="441" spans="10:23" hidden="1"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</row>
    <row r="442" spans="10:23" hidden="1"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</row>
    <row r="443" spans="10:23" hidden="1"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</row>
    <row r="444" spans="10:23" hidden="1"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</row>
    <row r="445" spans="10:23" hidden="1"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</row>
    <row r="446" spans="10:23" hidden="1"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</row>
    <row r="447" spans="10:23" hidden="1"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</row>
    <row r="448" spans="10:23" hidden="1"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</row>
    <row r="449" spans="10:23" hidden="1"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</row>
    <row r="450" spans="10:23" hidden="1"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</row>
    <row r="451" spans="10:23" hidden="1"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</row>
    <row r="452" spans="10:23" hidden="1"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</row>
    <row r="453" spans="10:23" hidden="1"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</row>
    <row r="454" spans="10:23" hidden="1"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</row>
    <row r="455" spans="10:23" hidden="1"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</row>
    <row r="456" spans="10:23" hidden="1"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</row>
    <row r="457" spans="10:23" hidden="1"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</row>
    <row r="458" spans="10:23" hidden="1"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</row>
    <row r="459" spans="10:23" hidden="1"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</row>
    <row r="460" spans="10:23" hidden="1"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</row>
    <row r="461" spans="10:23" hidden="1"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</row>
    <row r="462" spans="10:23" hidden="1"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</row>
    <row r="463" spans="10:23" hidden="1"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</row>
    <row r="464" spans="10:23" hidden="1"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</row>
    <row r="465" spans="10:23" hidden="1"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</row>
    <row r="466" spans="10:23" hidden="1"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</row>
    <row r="467" spans="10:23" hidden="1"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</row>
    <row r="468" spans="10:23" hidden="1"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</row>
    <row r="469" spans="10:23" hidden="1"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</row>
  </sheetData>
  <mergeCells count="2">
    <mergeCell ref="W187:W195"/>
    <mergeCell ref="W202:W210"/>
  </mergeCells>
  <phoneticPr fontId="59" type="noConversion"/>
  <conditionalFormatting sqref="A41 I150:J150 L150:S150 L165:Q165 K248:R248">
    <cfRule type="cellIs" dxfId="29" priority="24" operator="equal">
      <formula>FALSE</formula>
    </cfRule>
  </conditionalFormatting>
  <conditionalFormatting sqref="A76">
    <cfRule type="cellIs" dxfId="28" priority="23" operator="equal">
      <formula>FALSE</formula>
    </cfRule>
  </conditionalFormatting>
  <conditionalFormatting sqref="A84">
    <cfRule type="cellIs" dxfId="27" priority="17" operator="equal">
      <formula>FALSE</formula>
    </cfRule>
  </conditionalFormatting>
  <conditionalFormatting sqref="A165">
    <cfRule type="cellIs" dxfId="26" priority="25" operator="equal">
      <formula>FALSE</formula>
    </cfRule>
  </conditionalFormatting>
  <conditionalFormatting sqref="A221">
    <cfRule type="cellIs" dxfId="25" priority="21" operator="equal">
      <formula>FALSE</formula>
    </cfRule>
  </conditionalFormatting>
  <conditionalFormatting sqref="G97">
    <cfRule type="cellIs" dxfId="24" priority="20" operator="equal">
      <formula>FALSE</formula>
    </cfRule>
  </conditionalFormatting>
  <conditionalFormatting sqref="H65:I65">
    <cfRule type="cellIs" dxfId="23" priority="40" operator="equal">
      <formula>FALSE</formula>
    </cfRule>
  </conditionalFormatting>
  <conditionalFormatting sqref="I100:Q101">
    <cfRule type="cellIs" dxfId="22" priority="9" operator="equal">
      <formula>FALSE</formula>
    </cfRule>
  </conditionalFormatting>
  <conditionalFormatting sqref="I182:Q182">
    <cfRule type="cellIs" dxfId="21" priority="8" operator="equal">
      <formula>FALSE</formula>
    </cfRule>
  </conditionalFormatting>
  <conditionalFormatting sqref="I197:Q197">
    <cfRule type="cellIs" dxfId="20" priority="14" operator="equal">
      <formula>FALSE</formula>
    </cfRule>
  </conditionalFormatting>
  <conditionalFormatting sqref="I214:Q214">
    <cfRule type="cellIs" dxfId="19" priority="7" operator="equal">
      <formula>FALSE</formula>
    </cfRule>
  </conditionalFormatting>
  <conditionalFormatting sqref="J11">
    <cfRule type="cellIs" dxfId="18" priority="12" operator="equal">
      <formula>FALSE</formula>
    </cfRule>
  </conditionalFormatting>
  <conditionalFormatting sqref="J41 O45:O47 L48">
    <cfRule type="cellIs" dxfId="17" priority="35" operator="equal">
      <formula>FALSE</formula>
    </cfRule>
  </conditionalFormatting>
  <conditionalFormatting sqref="J53">
    <cfRule type="cellIs" dxfId="16" priority="30" operator="equal">
      <formula>FALSE</formula>
    </cfRule>
  </conditionalFormatting>
  <conditionalFormatting sqref="J83">
    <cfRule type="cellIs" dxfId="15" priority="33" operator="equal">
      <formula>FALSE</formula>
    </cfRule>
  </conditionalFormatting>
  <conditionalFormatting sqref="J177">
    <cfRule type="cellIs" dxfId="14" priority="4" operator="equal">
      <formula>FALSE</formula>
    </cfRule>
  </conditionalFormatting>
  <conditionalFormatting sqref="K221:L221">
    <cfRule type="cellIs" dxfId="13" priority="18" operator="equal">
      <formula>FALSE</formula>
    </cfRule>
  </conditionalFormatting>
  <conditionalFormatting sqref="L9:L11">
    <cfRule type="cellIs" dxfId="12" priority="29" operator="equal">
      <formula>FALSE</formula>
    </cfRule>
  </conditionalFormatting>
  <conditionalFormatting sqref="L92">
    <cfRule type="cellIs" dxfId="11" priority="32" operator="equal">
      <formula>FALSE</formula>
    </cfRule>
  </conditionalFormatting>
  <conditionalFormatting sqref="L25:M28">
    <cfRule type="cellIs" dxfId="10" priority="1" operator="equal">
      <formula>FALSE</formula>
    </cfRule>
  </conditionalFormatting>
  <conditionalFormatting sqref="L175:M175">
    <cfRule type="cellIs" dxfId="9" priority="27" operator="equal">
      <formula>FALSE</formula>
    </cfRule>
  </conditionalFormatting>
  <conditionalFormatting sqref="L179:R180">
    <cfRule type="cellIs" dxfId="8" priority="16" operator="equal">
      <formula>FALSE</formula>
    </cfRule>
  </conditionalFormatting>
  <conditionalFormatting sqref="M9:M10">
    <cfRule type="cellIs" dxfId="7" priority="2" operator="equal">
      <formula>FALSE</formula>
    </cfRule>
  </conditionalFormatting>
  <conditionalFormatting sqref="M121">
    <cfRule type="cellIs" dxfId="6" priority="3" operator="equal">
      <formula>FALSE</formula>
    </cfRule>
  </conditionalFormatting>
  <conditionalFormatting sqref="M76:O76">
    <cfRule type="cellIs" dxfId="5" priority="36" operator="equal">
      <formula>FALSE</formula>
    </cfRule>
  </conditionalFormatting>
  <conditionalFormatting sqref="M136:Q136">
    <cfRule type="cellIs" dxfId="4" priority="11" operator="equal">
      <formula>FALSE</formula>
    </cfRule>
  </conditionalFormatting>
  <conditionalFormatting sqref="P72">
    <cfRule type="cellIs" dxfId="3" priority="38" operator="equal">
      <formula>FALSE</formula>
    </cfRule>
  </conditionalFormatting>
  <conditionalFormatting sqref="P75">
    <cfRule type="cellIs" dxfId="2" priority="37" operator="equal">
      <formula>FALSE</formula>
    </cfRule>
  </conditionalFormatting>
  <conditionalFormatting sqref="Q125:S125">
    <cfRule type="cellIs" dxfId="1" priority="10" operator="equal">
      <formula>FALSE</formula>
    </cfRule>
  </conditionalFormatting>
  <conditionalFormatting sqref="S118">
    <cfRule type="cellIs" dxfId="0" priority="6" operator="equal">
      <formula>FALSE</formula>
    </cfRule>
  </conditionalFormatting>
  <dataValidations disablePrompts="1" count="3">
    <dataValidation type="list" allowBlank="1" showInputMessage="1" showErrorMessage="1" sqref="I9" xr:uid="{E9FCF494-EB89-47BF-8E76-D090664A69D8}">
      <formula1>$L$9:$L$11</formula1>
    </dataValidation>
    <dataValidation type="list" allowBlank="1" showInputMessage="1" showErrorMessage="1" sqref="H26" xr:uid="{21C7EFA6-21C5-46CF-B5D8-68A9DD6BE9E0}">
      <formula1>$L$25:$L$28</formula1>
    </dataValidation>
    <dataValidation type="list" allowBlank="1" showInputMessage="1" showErrorMessage="1" sqref="I17:I21" xr:uid="{F5AE98C1-80D2-4A1F-B90C-41783C14E963}">
      <formula1>$I$22:$I$23</formula1>
    </dataValidation>
  </dataValidations>
  <pageMargins left="0.25" right="0.25" top="0.75" bottom="0.75" header="0.3" footer="0.3"/>
  <pageSetup paperSize="9" scale="16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03AE-C1D8-4ECD-9856-1713F1E6476A}">
  <sheetPr codeName="Sheet14">
    <pageSetUpPr autoPageBreaks="0" fitToPage="1"/>
  </sheetPr>
  <dimension ref="A1:J43"/>
  <sheetViews>
    <sheetView showGridLines="0" zoomScale="70" zoomScaleNormal="70" workbookViewId="0"/>
  </sheetViews>
  <sheetFormatPr defaultColWidth="0" defaultRowHeight="15" customHeight="1" zeroHeight="1"/>
  <cols>
    <col min="1" max="1" width="2.125" style="207" customWidth="1"/>
    <col min="2" max="2" width="19.5" style="207" customWidth="1"/>
    <col min="3" max="3" width="6.25" style="207" customWidth="1"/>
    <col min="4" max="4" width="18.625" style="207" customWidth="1"/>
    <col min="5" max="5" width="3.875" style="207" customWidth="1"/>
    <col min="6" max="6" width="27.625" style="207" customWidth="1"/>
    <col min="7" max="7" width="4.125" style="207" customWidth="1"/>
    <col min="8" max="8" width="18.625" style="207" customWidth="1"/>
    <col min="9" max="9" width="4.875" style="207" customWidth="1"/>
    <col min="10" max="10" width="9.625" style="207" customWidth="1"/>
    <col min="11" max="16384" width="9.625" style="207" hidden="1"/>
  </cols>
  <sheetData>
    <row r="1" spans="1:8" s="35" customFormat="1" ht="13.8">
      <c r="A1" s="2" t="s">
        <v>265</v>
      </c>
      <c r="G1" s="183"/>
      <c r="H1" s="43"/>
    </row>
    <row r="2" spans="1:8" ht="15" customHeight="1"/>
    <row r="3" spans="1:8" ht="15" customHeight="1"/>
    <row r="4" spans="1:8" ht="15" customHeight="1">
      <c r="B4" s="206" t="s">
        <v>248</v>
      </c>
      <c r="D4" s="206" t="s">
        <v>249</v>
      </c>
      <c r="F4" s="322" t="s">
        <v>264</v>
      </c>
      <c r="H4" s="206" t="s">
        <v>259</v>
      </c>
    </row>
    <row r="5" spans="1:8" ht="15" customHeight="1">
      <c r="B5" s="206" t="s">
        <v>250</v>
      </c>
      <c r="D5" s="208"/>
      <c r="F5" s="322"/>
    </row>
    <row r="6" spans="1:8" ht="15" customHeight="1">
      <c r="B6" s="224">
        <f ca="1">+LBO!I83</f>
        <v>137.90845862128864</v>
      </c>
      <c r="D6" s="224">
        <f ca="1">+LBO!G96</f>
        <v>137.90845862128864</v>
      </c>
      <c r="H6" s="224">
        <f ca="1">+LBO!M188</f>
        <v>126.77987304096746</v>
      </c>
    </row>
    <row r="7" spans="1:8" ht="15" customHeight="1">
      <c r="H7" s="209"/>
    </row>
    <row r="8" spans="1:8" ht="15" customHeight="1">
      <c r="H8" s="210"/>
    </row>
    <row r="9" spans="1:8" ht="15" customHeight="1">
      <c r="H9" s="210"/>
    </row>
    <row r="10" spans="1:8" ht="15" customHeight="1">
      <c r="H10" s="210"/>
    </row>
    <row r="11" spans="1:8" ht="15" customHeight="1">
      <c r="H11" s="211" t="s">
        <v>251</v>
      </c>
    </row>
    <row r="12" spans="1:8" ht="15" customHeight="1">
      <c r="H12" s="210" t="s">
        <v>262</v>
      </c>
    </row>
    <row r="13" spans="1:8" ht="15" customHeight="1">
      <c r="H13" s="210" t="s">
        <v>263</v>
      </c>
    </row>
    <row r="14" spans="1:8" ht="15" customHeight="1">
      <c r="H14" s="210" t="str">
        <f ca="1">"Value: "&amp;TEXT(LBO!M200,"£#,##0.0")&amp;"m"</f>
        <v>Value: £0.5m</v>
      </c>
    </row>
    <row r="15" spans="1:8" ht="15" customHeight="1"/>
    <row r="16" spans="1:8" ht="15" customHeight="1">
      <c r="H16" s="211" t="s">
        <v>252</v>
      </c>
    </row>
    <row r="17" spans="2:8" ht="15" customHeight="1">
      <c r="H17" s="210" t="str">
        <f ca="1">"IRR: "&amp;TEXT(LBO!M212,"0%")</f>
        <v>IRR: 10%</v>
      </c>
    </row>
    <row r="18" spans="2:8" ht="15" customHeight="1">
      <c r="H18" s="210" t="str">
        <f ca="1">"MOIC: "&amp;TEXT(LBO!M213,"0.0x")</f>
        <v>MOIC: 1.6x</v>
      </c>
    </row>
    <row r="19" spans="2:8" ht="15" customHeight="1">
      <c r="B19" s="210"/>
      <c r="H19" s="210" t="str">
        <f ca="1">"Value: "&amp;TEXT(SUM(LBO!M204:M210),"£#,##0.0")&amp;"m"</f>
        <v>Value: £126.3m</v>
      </c>
    </row>
    <row r="20" spans="2:8" ht="15" customHeight="1">
      <c r="B20" s="212"/>
      <c r="H20" s="210"/>
    </row>
    <row r="21" spans="2:8" ht="15" customHeight="1">
      <c r="B21" s="212"/>
      <c r="H21" s="210"/>
    </row>
    <row r="22" spans="2:8" ht="15" customHeight="1">
      <c r="B22" s="212"/>
    </row>
    <row r="23" spans="2:8" ht="15" customHeight="1">
      <c r="B23" s="212"/>
    </row>
    <row r="24" spans="2:8" s="226" customFormat="1" ht="15" customHeight="1">
      <c r="B24" s="225"/>
      <c r="D24" s="225" t="s">
        <v>261</v>
      </c>
      <c r="H24" s="225" t="s">
        <v>260</v>
      </c>
    </row>
    <row r="25" spans="2:8" s="226" customFormat="1" ht="15" customHeight="1">
      <c r="B25" s="225"/>
      <c r="D25" s="224" t="e">
        <f>+TEV</f>
        <v>#NAME?</v>
      </c>
      <c r="H25" s="224">
        <f>+LBO!M186</f>
        <v>158.82482716356077</v>
      </c>
    </row>
    <row r="26" spans="2:8" s="226" customFormat="1" ht="15" customHeight="1">
      <c r="B26" s="225"/>
      <c r="D26" s="227" t="str">
        <f>TEXT(_xlfn.SINGLE(Acq_multiple),"0.0x")&amp;" EBITDA"</f>
        <v>10.0x EBITDA</v>
      </c>
      <c r="H26" s="227" t="str">
        <f>TEXT(Exit_multiple,"0.0x")&amp;" EBITDA"</f>
        <v>10.0x EBITDA</v>
      </c>
    </row>
    <row r="27" spans="2:8" ht="15" customHeight="1">
      <c r="B27" s="212"/>
    </row>
    <row r="28" spans="2:8" ht="15" customHeight="1">
      <c r="B28" s="213"/>
      <c r="C28" s="213"/>
      <c r="D28" s="213"/>
      <c r="E28" s="213"/>
      <c r="F28" s="213"/>
      <c r="G28" s="213"/>
      <c r="H28" s="213"/>
    </row>
    <row r="29" spans="2:8" ht="15" customHeight="1"/>
    <row r="30" spans="2:8" ht="15" customHeight="1">
      <c r="B30" s="207" t="s">
        <v>94</v>
      </c>
    </row>
    <row r="31" spans="2:8" ht="15" customHeight="1">
      <c r="B31" s="214" t="s">
        <v>253</v>
      </c>
      <c r="C31" s="221">
        <f>+LBO!I80</f>
        <v>135</v>
      </c>
    </row>
    <row r="32" spans="2:8" ht="15" customHeight="1">
      <c r="B32" s="215" t="str">
        <f>IF(C32=0,"","Repay outstanding debt")</f>
        <v/>
      </c>
      <c r="C32" s="222">
        <f>+LBO!I81</f>
        <v>0</v>
      </c>
    </row>
    <row r="33" spans="2:3" ht="15" customHeight="1">
      <c r="B33" s="216" t="s">
        <v>12</v>
      </c>
      <c r="C33" s="223">
        <f ca="1">+LBO!I82</f>
        <v>2.9084586212886503</v>
      </c>
    </row>
    <row r="34" spans="2:3" ht="15" customHeight="1">
      <c r="C34" s="217"/>
    </row>
    <row r="35" spans="2:3" ht="15" customHeight="1">
      <c r="B35" s="207" t="s">
        <v>69</v>
      </c>
      <c r="C35" s="217"/>
    </row>
    <row r="36" spans="2:3" ht="15" customHeight="1">
      <c r="B36" s="214" t="s">
        <v>254</v>
      </c>
      <c r="C36" s="221">
        <f ca="1">+LBO!O72</f>
        <v>77.228533709575558</v>
      </c>
    </row>
    <row r="37" spans="2:3" ht="15" customHeight="1">
      <c r="B37" s="215" t="str">
        <f>IF(C37=0,"","Existing cash")</f>
        <v/>
      </c>
      <c r="C37" s="222">
        <f>+LBO!G89</f>
        <v>0</v>
      </c>
    </row>
    <row r="38" spans="2:3" ht="15" customHeight="1">
      <c r="B38" s="215" t="str">
        <f ca="1">IF(C38=0,"","Management strip")</f>
        <v/>
      </c>
      <c r="C38" s="222">
        <f ca="1">+LBO!O73</f>
        <v>0</v>
      </c>
    </row>
    <row r="39" spans="2:3" ht="15" customHeight="1">
      <c r="B39" s="216" t="s">
        <v>255</v>
      </c>
      <c r="C39" s="223">
        <f ca="1">+LBO!G92</f>
        <v>60.563908085910008</v>
      </c>
    </row>
    <row r="40" spans="2:3" ht="15" customHeight="1">
      <c r="B40" s="209"/>
      <c r="C40" s="218"/>
    </row>
    <row r="41" spans="2:3" ht="15" customHeight="1">
      <c r="B41" s="214" t="str">
        <f ca="1">IF(C41=0,"","Founders/management")</f>
        <v>Founders/management</v>
      </c>
      <c r="C41" s="219">
        <f ca="1">+SUM(LBO!O73:O74)/LBO!O75</f>
        <v>1.4999999999999998E-3</v>
      </c>
    </row>
    <row r="42" spans="2:3" ht="15" customHeight="1">
      <c r="B42" s="216" t="s">
        <v>252</v>
      </c>
      <c r="C42" s="220">
        <f ca="1">+LBO!O72/LBO!O75</f>
        <v>0.99849999999999994</v>
      </c>
    </row>
    <row r="43" spans="2:3" ht="15" customHeight="1"/>
  </sheetData>
  <mergeCells count="1">
    <mergeCell ref="F4:F5"/>
  </mergeCells>
  <pageMargins left="0.75" right="0.75" top="1" bottom="1" header="0.5" footer="0.5"/>
  <pageSetup paperSize="9" scale="6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4AA9-ACC3-42E6-B573-1C23CD2A8AF7}">
  <sheetPr codeName="Sheet4">
    <pageSetUpPr autoPageBreaks="0"/>
  </sheetPr>
  <dimension ref="A1:U130"/>
  <sheetViews>
    <sheetView showGridLines="0" zoomScale="70" zoomScaleNormal="70" workbookViewId="0"/>
  </sheetViews>
  <sheetFormatPr defaultColWidth="10.125" defaultRowHeight="14.1" customHeight="1"/>
  <cols>
    <col min="1" max="1" width="4.5" style="14" customWidth="1"/>
    <col min="2" max="3" width="17.5" style="14" customWidth="1"/>
    <col min="4" max="16384" width="10.125" style="14"/>
  </cols>
  <sheetData>
    <row r="1" spans="1:18" ht="14.1" customHeight="1">
      <c r="A1" s="13"/>
    </row>
    <row r="2" spans="1:18" ht="14.1" customHeight="1">
      <c r="B2" s="15" t="s">
        <v>70</v>
      </c>
    </row>
    <row r="3" spans="1:18" ht="14.1" customHeight="1">
      <c r="B3" s="16"/>
      <c r="C3" s="16"/>
      <c r="R3" s="14" t="s">
        <v>71</v>
      </c>
    </row>
    <row r="4" spans="1:18" ht="14.1" customHeight="1">
      <c r="B4" s="17" t="s">
        <v>72</v>
      </c>
      <c r="C4" s="178">
        <v>46126</v>
      </c>
      <c r="F4" s="18"/>
      <c r="R4" s="19" t="s">
        <v>73</v>
      </c>
    </row>
    <row r="5" spans="1:18" ht="14.1" customHeight="1">
      <c r="B5" s="20"/>
      <c r="C5" s="16"/>
      <c r="L5" s="21" t="s">
        <v>74</v>
      </c>
    </row>
    <row r="6" spans="1:18" ht="14.1" customHeight="1">
      <c r="D6" s="22"/>
      <c r="E6" s="22"/>
      <c r="F6" s="22"/>
      <c r="G6" s="22"/>
      <c r="H6" s="22"/>
    </row>
    <row r="9" spans="1:18" ht="14.1" customHeight="1">
      <c r="B9" s="23" t="s">
        <v>75</v>
      </c>
      <c r="C9" s="23" t="s">
        <v>76</v>
      </c>
    </row>
    <row r="10" spans="1:18" ht="14.1" customHeight="1">
      <c r="B10" s="273">
        <v>46128</v>
      </c>
      <c r="C10" s="275">
        <v>3.7932500000000001E-2</v>
      </c>
      <c r="D10" s="24"/>
      <c r="P10" s="24"/>
      <c r="Q10" s="24"/>
    </row>
    <row r="11" spans="1:18" ht="14.1" customHeight="1">
      <c r="B11" s="274">
        <v>46160</v>
      </c>
      <c r="C11" s="276">
        <v>3.8539799999999999E-2</v>
      </c>
      <c r="D11" s="24"/>
      <c r="P11" s="24"/>
      <c r="Q11" s="24"/>
    </row>
    <row r="12" spans="1:18" ht="14.1" customHeight="1">
      <c r="B12" s="273">
        <v>46189</v>
      </c>
      <c r="C12" s="275">
        <v>3.9203799999999997E-2</v>
      </c>
      <c r="D12" s="24"/>
      <c r="P12" s="24"/>
      <c r="Q12" s="24"/>
    </row>
    <row r="13" spans="1:18" ht="14.1" customHeight="1">
      <c r="B13" s="274">
        <v>46219</v>
      </c>
      <c r="C13" s="276">
        <v>3.9777199999999999E-2</v>
      </c>
      <c r="D13" s="24"/>
      <c r="P13" s="24"/>
      <c r="Q13" s="24"/>
      <c r="R13" s="25"/>
    </row>
    <row r="14" spans="1:18" ht="14.1" customHeight="1">
      <c r="B14" s="273">
        <v>46251</v>
      </c>
      <c r="C14" s="275">
        <v>4.0259299999999998E-2</v>
      </c>
      <c r="D14" s="24"/>
      <c r="P14" s="24"/>
      <c r="Q14" s="24"/>
    </row>
    <row r="15" spans="1:18" ht="14.1" customHeight="1">
      <c r="B15" s="274">
        <v>46281</v>
      </c>
      <c r="C15" s="276">
        <v>4.0624199999999999E-2</v>
      </c>
      <c r="D15" s="24"/>
      <c r="P15" s="24"/>
      <c r="Q15" s="24"/>
    </row>
    <row r="16" spans="1:18" ht="14.1" customHeight="1">
      <c r="B16" s="273">
        <v>46311</v>
      </c>
      <c r="C16" s="275">
        <v>4.0906600000000001E-2</v>
      </c>
      <c r="D16" s="24"/>
      <c r="P16" s="24"/>
      <c r="Q16" s="24"/>
    </row>
    <row r="17" spans="2:21" ht="14.1" customHeight="1">
      <c r="B17" s="274">
        <v>46342</v>
      </c>
      <c r="C17" s="276">
        <v>4.1050499999999997E-2</v>
      </c>
      <c r="D17" s="24"/>
      <c r="P17" s="24"/>
      <c r="Q17" s="24"/>
    </row>
    <row r="18" spans="2:21" ht="14.1" customHeight="1">
      <c r="B18" s="273">
        <v>46372</v>
      </c>
      <c r="C18" s="275">
        <v>4.1088899999999998E-2</v>
      </c>
      <c r="D18" s="24"/>
      <c r="P18" s="24"/>
      <c r="Q18" s="24"/>
    </row>
    <row r="19" spans="2:21" ht="14.1" customHeight="1">
      <c r="B19" s="274">
        <v>46405</v>
      </c>
      <c r="C19" s="276">
        <v>4.10482E-2</v>
      </c>
      <c r="D19" s="24"/>
      <c r="P19" s="24"/>
      <c r="Q19" s="24"/>
    </row>
    <row r="20" spans="2:21" ht="14.1" customHeight="1">
      <c r="B20" s="273">
        <v>46434</v>
      </c>
      <c r="C20" s="275">
        <v>4.0954200000000003E-2</v>
      </c>
      <c r="D20" s="24"/>
      <c r="P20" s="24"/>
      <c r="Q20" s="24"/>
    </row>
    <row r="21" spans="2:21" ht="14.1" customHeight="1">
      <c r="B21" s="274">
        <v>46462</v>
      </c>
      <c r="C21" s="276">
        <v>4.0833000000000001E-2</v>
      </c>
      <c r="D21" s="24"/>
      <c r="P21" s="24"/>
      <c r="Q21" s="24"/>
    </row>
    <row r="22" spans="2:21" ht="14.1" customHeight="1">
      <c r="B22" s="273">
        <v>46493</v>
      </c>
      <c r="C22" s="275">
        <v>4.0682700000000002E-2</v>
      </c>
      <c r="D22" s="24"/>
      <c r="P22" s="24"/>
      <c r="Q22" s="24"/>
      <c r="U22" s="26"/>
    </row>
    <row r="23" spans="2:21" ht="14.1" customHeight="1">
      <c r="B23" s="274">
        <v>46524</v>
      </c>
      <c r="C23" s="276">
        <v>4.0534800000000003E-2</v>
      </c>
      <c r="D23" s="24"/>
      <c r="P23" s="24"/>
      <c r="Q23" s="24"/>
      <c r="U23" s="26"/>
    </row>
    <row r="24" spans="2:21" ht="14.1" customHeight="1">
      <c r="B24" s="273">
        <v>46554</v>
      </c>
      <c r="C24" s="275">
        <v>4.0399900000000002E-2</v>
      </c>
      <c r="D24" s="24"/>
      <c r="P24" s="24"/>
      <c r="Q24" s="24"/>
    </row>
    <row r="25" spans="2:21" ht="14.1" customHeight="1">
      <c r="B25" s="274">
        <v>46584</v>
      </c>
      <c r="C25" s="276">
        <v>4.0273000000000003E-2</v>
      </c>
      <c r="D25" s="24"/>
      <c r="P25" s="24"/>
      <c r="Q25" s="24"/>
    </row>
    <row r="26" spans="2:21" ht="14.1" customHeight="1">
      <c r="B26" s="273">
        <v>46615</v>
      </c>
      <c r="C26" s="275">
        <v>4.0148900000000001E-2</v>
      </c>
      <c r="D26" s="24"/>
      <c r="P26" s="24"/>
      <c r="Q26" s="24"/>
    </row>
    <row r="27" spans="2:21" ht="14.1" customHeight="1">
      <c r="B27" s="274">
        <v>46646</v>
      </c>
      <c r="C27" s="276">
        <v>4.0032400000000003E-2</v>
      </c>
      <c r="D27" s="24"/>
      <c r="P27" s="24"/>
      <c r="Q27" s="24"/>
    </row>
    <row r="28" spans="2:21" ht="14.1" customHeight="1">
      <c r="B28" s="273">
        <v>46678</v>
      </c>
      <c r="C28" s="275">
        <v>3.9922800000000001E-2</v>
      </c>
      <c r="D28" s="24"/>
      <c r="P28" s="24"/>
      <c r="Q28" s="24"/>
    </row>
    <row r="29" spans="2:21" ht="14.1" customHeight="1">
      <c r="B29" s="274">
        <v>46707</v>
      </c>
      <c r="C29" s="276">
        <v>3.98296E-2</v>
      </c>
      <c r="D29" s="24"/>
      <c r="P29" s="24"/>
      <c r="Q29" s="24"/>
    </row>
    <row r="30" spans="2:21" ht="14.1" customHeight="1">
      <c r="B30" s="273">
        <v>46737</v>
      </c>
      <c r="C30" s="275">
        <v>3.9739799999999999E-2</v>
      </c>
      <c r="D30" s="24"/>
      <c r="P30" s="24"/>
      <c r="Q30" s="24"/>
    </row>
    <row r="31" spans="2:21" ht="14.1" customHeight="1">
      <c r="B31" s="274">
        <v>46769</v>
      </c>
      <c r="C31" s="276">
        <v>3.9652899999999998E-2</v>
      </c>
      <c r="D31" s="24"/>
      <c r="P31" s="24"/>
      <c r="Q31" s="24"/>
    </row>
    <row r="32" spans="2:21" ht="14.1" customHeight="1">
      <c r="B32" s="273">
        <v>46799</v>
      </c>
      <c r="C32" s="275">
        <v>3.9578000000000002E-2</v>
      </c>
      <c r="D32" s="24"/>
      <c r="P32" s="24"/>
      <c r="Q32" s="24"/>
    </row>
    <row r="33" spans="2:17" ht="14.1" customHeight="1">
      <c r="B33" s="274">
        <v>46828</v>
      </c>
      <c r="C33" s="276">
        <v>3.9517200000000002E-2</v>
      </c>
      <c r="D33" s="24"/>
      <c r="P33" s="24"/>
      <c r="Q33" s="24"/>
    </row>
    <row r="34" spans="2:17" ht="14.1" customHeight="1">
      <c r="B34" s="273">
        <v>46861</v>
      </c>
      <c r="C34" s="275">
        <v>3.94551E-2</v>
      </c>
      <c r="D34" s="24"/>
      <c r="P34" s="24"/>
      <c r="Q34" s="24"/>
    </row>
    <row r="35" spans="2:17" ht="14.1" customHeight="1">
      <c r="B35" s="274">
        <v>46889</v>
      </c>
      <c r="C35" s="276">
        <v>3.9414200000000003E-2</v>
      </c>
      <c r="D35" s="24"/>
      <c r="P35" s="24"/>
      <c r="Q35" s="24"/>
    </row>
    <row r="36" spans="2:17" ht="14.1" customHeight="1">
      <c r="B36" s="273">
        <v>46920</v>
      </c>
      <c r="C36" s="275">
        <v>3.9382300000000002E-2</v>
      </c>
      <c r="D36" s="24"/>
      <c r="P36" s="24"/>
      <c r="Q36" s="24"/>
    </row>
    <row r="37" spans="2:17" ht="14.1" customHeight="1">
      <c r="B37" s="274">
        <v>46951</v>
      </c>
      <c r="C37" s="276">
        <v>3.93552E-2</v>
      </c>
      <c r="D37" s="24"/>
      <c r="P37" s="24"/>
      <c r="Q37" s="24"/>
    </row>
    <row r="38" spans="2:17" ht="14.1" customHeight="1">
      <c r="B38" s="273">
        <v>46981</v>
      </c>
      <c r="C38" s="275">
        <v>3.9343400000000001E-2</v>
      </c>
      <c r="D38" s="24"/>
      <c r="P38" s="24"/>
      <c r="Q38" s="24"/>
    </row>
    <row r="39" spans="2:17" ht="14.1" customHeight="1">
      <c r="B39" s="274">
        <v>47014</v>
      </c>
      <c r="C39" s="276">
        <v>3.9340699999999999E-2</v>
      </c>
      <c r="D39" s="24"/>
      <c r="P39" s="24"/>
      <c r="Q39" s="24"/>
    </row>
    <row r="40" spans="2:17" ht="14.1" customHeight="1">
      <c r="B40" s="273">
        <v>47042</v>
      </c>
      <c r="C40" s="275">
        <v>3.9352100000000001E-2</v>
      </c>
      <c r="D40" s="24"/>
      <c r="P40" s="24"/>
      <c r="Q40" s="24"/>
    </row>
    <row r="41" spans="2:17" ht="14.1" customHeight="1">
      <c r="B41" s="274">
        <v>47073</v>
      </c>
      <c r="C41" s="276">
        <v>3.9374100000000002E-2</v>
      </c>
      <c r="D41" s="24"/>
      <c r="P41" s="24"/>
      <c r="Q41" s="24"/>
    </row>
    <row r="42" spans="2:17" ht="14.1" customHeight="1">
      <c r="B42" s="273">
        <v>47105</v>
      </c>
      <c r="C42" s="275">
        <v>3.9406099999999999E-2</v>
      </c>
      <c r="D42" s="24"/>
      <c r="P42" s="24"/>
      <c r="Q42" s="24"/>
    </row>
    <row r="43" spans="2:17" ht="14.1" customHeight="1">
      <c r="B43" s="274">
        <v>47134</v>
      </c>
      <c r="C43" s="276">
        <v>3.9445000000000001E-2</v>
      </c>
      <c r="D43" s="24"/>
      <c r="P43" s="24"/>
      <c r="Q43" s="24"/>
    </row>
    <row r="44" spans="2:17" ht="14.1" customHeight="1">
      <c r="B44" s="273">
        <v>47165</v>
      </c>
      <c r="C44" s="275">
        <v>3.94971E-2</v>
      </c>
      <c r="D44" s="24"/>
      <c r="P44" s="24"/>
      <c r="Q44" s="24"/>
    </row>
    <row r="45" spans="2:17" ht="14.1" customHeight="1">
      <c r="B45" s="274">
        <v>47193</v>
      </c>
      <c r="C45" s="276">
        <v>3.9571799999999997E-2</v>
      </c>
      <c r="D45" s="24"/>
      <c r="P45" s="24"/>
      <c r="Q45" s="24"/>
    </row>
    <row r="46" spans="2:17" ht="14.1" customHeight="1">
      <c r="B46" s="273">
        <v>47224</v>
      </c>
      <c r="C46" s="275">
        <v>3.9634799999999998E-2</v>
      </c>
      <c r="D46" s="24"/>
      <c r="P46" s="24"/>
      <c r="Q46" s="24"/>
    </row>
    <row r="47" spans="2:17" ht="14.1" customHeight="1">
      <c r="B47" s="274">
        <v>47254</v>
      </c>
      <c r="C47" s="276">
        <v>3.9712699999999997E-2</v>
      </c>
      <c r="D47" s="24"/>
      <c r="P47" s="24"/>
      <c r="Q47" s="24"/>
    </row>
    <row r="48" spans="2:17" ht="14.1" customHeight="1">
      <c r="B48" s="273">
        <v>47287</v>
      </c>
      <c r="C48" s="275">
        <v>3.9798500000000001E-2</v>
      </c>
      <c r="D48" s="24"/>
      <c r="P48" s="24"/>
      <c r="Q48" s="24"/>
    </row>
    <row r="49" spans="2:17" ht="14.1" customHeight="1">
      <c r="B49" s="274">
        <v>47315</v>
      </c>
      <c r="C49" s="276">
        <v>3.9874800000000002E-2</v>
      </c>
      <c r="D49" s="24"/>
      <c r="P49" s="24"/>
      <c r="Q49" s="24"/>
    </row>
    <row r="50" spans="2:17" ht="14.1" customHeight="1">
      <c r="B50" s="273">
        <v>47346</v>
      </c>
      <c r="C50" s="275">
        <v>3.9962999999999999E-2</v>
      </c>
      <c r="D50" s="24"/>
      <c r="P50" s="24"/>
      <c r="Q50" s="24"/>
    </row>
    <row r="51" spans="2:17" ht="14.1" customHeight="1">
      <c r="B51" s="274">
        <v>47378</v>
      </c>
      <c r="C51" s="276">
        <v>4.0055100000000003E-2</v>
      </c>
      <c r="D51" s="24"/>
      <c r="P51" s="24"/>
      <c r="Q51" s="24"/>
    </row>
    <row r="52" spans="2:17" ht="14.1" customHeight="1">
      <c r="B52" s="273">
        <v>47407</v>
      </c>
      <c r="C52" s="275">
        <v>4.0147099999999998E-2</v>
      </c>
      <c r="D52" s="24"/>
      <c r="P52" s="24"/>
      <c r="Q52" s="24"/>
    </row>
    <row r="53" spans="2:17" ht="14.1" customHeight="1">
      <c r="B53" s="274">
        <v>47438</v>
      </c>
      <c r="C53" s="276">
        <v>4.0254900000000003E-2</v>
      </c>
    </row>
    <row r="54" spans="2:17" ht="14.1" customHeight="1">
      <c r="B54" s="273">
        <v>47469</v>
      </c>
      <c r="C54" s="275">
        <v>4.0347000000000001E-2</v>
      </c>
    </row>
    <row r="55" spans="2:17" ht="14.1" customHeight="1">
      <c r="B55" s="274">
        <v>47499</v>
      </c>
      <c r="C55" s="276">
        <v>4.0448900000000003E-2</v>
      </c>
    </row>
    <row r="56" spans="2:17" ht="14.1" customHeight="1">
      <c r="B56" s="273">
        <v>47532</v>
      </c>
      <c r="C56" s="275">
        <v>4.0569399999999999E-2</v>
      </c>
    </row>
    <row r="57" spans="2:17" ht="14.1" customHeight="1">
      <c r="B57" s="274">
        <v>47560</v>
      </c>
      <c r="C57" s="276">
        <v>4.0676400000000001E-2</v>
      </c>
    </row>
    <row r="58" spans="2:17" ht="14.1" customHeight="1">
      <c r="B58" s="273">
        <v>47589</v>
      </c>
      <c r="C58" s="275">
        <v>4.0780999999999998E-2</v>
      </c>
    </row>
    <row r="59" spans="2:17" ht="14.1" customHeight="1">
      <c r="B59" s="274">
        <v>47619</v>
      </c>
      <c r="C59" s="276">
        <v>4.0901E-2</v>
      </c>
    </row>
    <row r="60" spans="2:17" ht="14.1" customHeight="1">
      <c r="B60" s="273">
        <v>47651</v>
      </c>
      <c r="C60" s="275">
        <v>4.1022700000000002E-2</v>
      </c>
    </row>
    <row r="61" spans="2:17" ht="14.1" customHeight="1">
      <c r="B61" s="274">
        <v>47680</v>
      </c>
      <c r="C61" s="276">
        <v>4.1133500000000003E-2</v>
      </c>
    </row>
    <row r="62" spans="2:17" ht="14.1" customHeight="1">
      <c r="B62" s="273">
        <v>47711</v>
      </c>
      <c r="C62" s="275">
        <v>4.1261199999999998E-2</v>
      </c>
    </row>
    <row r="63" spans="2:17" ht="14.1" customHeight="1">
      <c r="B63" s="274">
        <v>47742</v>
      </c>
      <c r="C63" s="276">
        <v>4.13689E-2</v>
      </c>
    </row>
    <row r="64" spans="2:17" ht="14.1" customHeight="1">
      <c r="B64" s="273">
        <v>47772</v>
      </c>
      <c r="C64" s="275">
        <v>4.1487900000000001E-2</v>
      </c>
    </row>
    <row r="65" spans="2:3" ht="14.1" customHeight="1">
      <c r="B65" s="274">
        <v>47805</v>
      </c>
      <c r="C65" s="276">
        <v>4.1616800000000002E-2</v>
      </c>
    </row>
    <row r="66" spans="2:3" ht="14.1" customHeight="1">
      <c r="B66" s="273">
        <v>47833</v>
      </c>
      <c r="C66" s="275">
        <v>4.1722299999999997E-2</v>
      </c>
    </row>
    <row r="67" spans="2:3" ht="14.1" customHeight="1">
      <c r="B67" s="274">
        <v>47864</v>
      </c>
      <c r="C67" s="276">
        <v>4.1841099999999999E-2</v>
      </c>
    </row>
    <row r="68" spans="2:3" ht="14.1" customHeight="1">
      <c r="B68" s="273">
        <v>47896</v>
      </c>
      <c r="C68" s="275">
        <v>4.1970899999999998E-2</v>
      </c>
    </row>
    <row r="69" spans="2:3" ht="14.1" customHeight="1">
      <c r="B69" s="274">
        <v>47924</v>
      </c>
      <c r="C69" s="276">
        <v>4.2086499999999999E-2</v>
      </c>
    </row>
    <row r="70" spans="2:3" ht="14.1" customHeight="1">
      <c r="B70" s="273">
        <v>47954</v>
      </c>
      <c r="C70" s="275">
        <v>4.22038E-2</v>
      </c>
    </row>
    <row r="71" spans="2:3" ht="14.1" customHeight="1">
      <c r="B71" s="274">
        <v>47984</v>
      </c>
      <c r="C71" s="276">
        <v>4.2340700000000002E-2</v>
      </c>
    </row>
    <row r="72" spans="2:3" ht="14.1" customHeight="1">
      <c r="B72" s="273">
        <v>48015</v>
      </c>
      <c r="C72" s="275">
        <v>4.2458999999999997E-2</v>
      </c>
    </row>
    <row r="73" spans="2:3" ht="14.1" customHeight="1">
      <c r="B73" s="274">
        <v>48045</v>
      </c>
      <c r="C73" s="276">
        <v>4.2583500000000003E-2</v>
      </c>
    </row>
    <row r="74" spans="2:3" ht="14.1" customHeight="1">
      <c r="B74" s="273">
        <v>48078</v>
      </c>
      <c r="C74" s="275">
        <v>4.27219E-2</v>
      </c>
    </row>
    <row r="75" spans="2:3" ht="14.1" customHeight="1">
      <c r="B75" s="274">
        <v>48107</v>
      </c>
      <c r="C75" s="276">
        <v>4.2840900000000001E-2</v>
      </c>
    </row>
    <row r="76" spans="2:3" ht="14.1" customHeight="1">
      <c r="B76" s="273">
        <v>48137</v>
      </c>
      <c r="C76" s="275">
        <v>4.29714E-2</v>
      </c>
    </row>
    <row r="77" spans="2:3" ht="14.1" customHeight="1">
      <c r="B77" s="274">
        <v>48169</v>
      </c>
      <c r="C77" s="276">
        <v>4.3109599999999998E-2</v>
      </c>
    </row>
    <row r="78" spans="2:3" ht="14.1" customHeight="1">
      <c r="B78" s="273">
        <v>48198</v>
      </c>
      <c r="C78" s="275">
        <v>4.32313E-2</v>
      </c>
    </row>
    <row r="79" spans="2:3" ht="14.1" customHeight="1">
      <c r="B79" s="274">
        <v>48229</v>
      </c>
      <c r="C79" s="276">
        <v>4.3368299999999999E-2</v>
      </c>
    </row>
    <row r="80" spans="2:3" ht="14.1" customHeight="1">
      <c r="B80" s="273">
        <v>48260</v>
      </c>
      <c r="C80" s="275">
        <v>4.3505200000000001E-2</v>
      </c>
    </row>
    <row r="81" spans="2:3" ht="14.1" customHeight="1">
      <c r="B81" s="274">
        <v>48289</v>
      </c>
      <c r="C81" s="276">
        <v>4.3639400000000002E-2</v>
      </c>
    </row>
    <row r="82" spans="2:3" ht="14.1" customHeight="1">
      <c r="B82" s="273">
        <v>48320</v>
      </c>
      <c r="C82" s="275">
        <v>4.3776700000000002E-2</v>
      </c>
    </row>
    <row r="83" spans="2:3" ht="14.1" customHeight="1">
      <c r="B83" s="274">
        <v>48351</v>
      </c>
      <c r="C83" s="276">
        <v>4.3924199999999997E-2</v>
      </c>
    </row>
    <row r="84" spans="2:3" ht="14.1" customHeight="1">
      <c r="B84" s="273">
        <v>48381</v>
      </c>
      <c r="C84" s="275">
        <v>4.40626E-2</v>
      </c>
    </row>
    <row r="85" spans="2:3" ht="14.1" customHeight="1">
      <c r="B85" s="274">
        <v>48411</v>
      </c>
      <c r="C85" s="276">
        <v>4.42122E-2</v>
      </c>
    </row>
    <row r="86" spans="2:3" ht="14.1" customHeight="1">
      <c r="B86" s="273">
        <v>48442</v>
      </c>
      <c r="C86" s="275">
        <v>4.43478E-2</v>
      </c>
    </row>
    <row r="87" spans="2:3" ht="14.1" customHeight="1">
      <c r="B87" s="274">
        <v>48473</v>
      </c>
      <c r="C87" s="276">
        <v>4.4490500000000002E-2</v>
      </c>
    </row>
    <row r="88" spans="2:3" ht="14.1" customHeight="1">
      <c r="B88" s="273">
        <v>48505</v>
      </c>
      <c r="C88" s="275">
        <v>4.4645900000000002E-2</v>
      </c>
    </row>
    <row r="89" spans="2:3" ht="14.1" customHeight="1">
      <c r="B89" s="274">
        <v>48534</v>
      </c>
      <c r="C89" s="276">
        <v>4.4785800000000001E-2</v>
      </c>
    </row>
    <row r="90" spans="2:3" ht="14.1" customHeight="1">
      <c r="B90" s="273">
        <v>48564</v>
      </c>
      <c r="C90" s="275">
        <v>4.4921299999999997E-2</v>
      </c>
    </row>
    <row r="91" spans="2:3" ht="14.1" customHeight="1">
      <c r="B91" s="274">
        <v>48596</v>
      </c>
      <c r="C91" s="276">
        <v>4.5090400000000003E-2</v>
      </c>
    </row>
    <row r="92" spans="2:3" ht="14.1" customHeight="1">
      <c r="B92" s="273">
        <v>48626</v>
      </c>
      <c r="C92" s="275">
        <v>4.5220999999999997E-2</v>
      </c>
    </row>
    <row r="93" spans="2:3" ht="14.1" customHeight="1">
      <c r="B93" s="274">
        <v>48654</v>
      </c>
      <c r="C93" s="276">
        <v>4.5374900000000003E-2</v>
      </c>
    </row>
    <row r="94" spans="2:3" ht="14.1" customHeight="1">
      <c r="B94" s="273">
        <v>48688</v>
      </c>
      <c r="C94" s="275">
        <v>4.5538700000000001E-2</v>
      </c>
    </row>
    <row r="95" spans="2:3" ht="14.1" customHeight="1">
      <c r="B95" s="274">
        <v>48715</v>
      </c>
      <c r="C95" s="276">
        <v>4.5677799999999998E-2</v>
      </c>
    </row>
    <row r="96" spans="2:3" ht="14.1" customHeight="1">
      <c r="B96" s="273">
        <v>48746</v>
      </c>
      <c r="C96" s="275">
        <v>4.5827600000000003E-2</v>
      </c>
    </row>
    <row r="97" spans="2:3" ht="14.1" customHeight="1">
      <c r="B97" s="274">
        <v>48778</v>
      </c>
      <c r="C97" s="276">
        <v>4.5980300000000002E-2</v>
      </c>
    </row>
    <row r="98" spans="2:3" ht="14.1" customHeight="1">
      <c r="B98" s="273">
        <v>48807</v>
      </c>
      <c r="C98" s="275">
        <v>4.6117100000000001E-2</v>
      </c>
    </row>
    <row r="99" spans="2:3" ht="14.1" customHeight="1">
      <c r="B99" s="274">
        <v>48838</v>
      </c>
      <c r="C99" s="276">
        <v>4.6257100000000002E-2</v>
      </c>
    </row>
    <row r="100" spans="2:3" ht="14.1" customHeight="1">
      <c r="B100" s="273">
        <v>48869</v>
      </c>
      <c r="C100" s="275">
        <v>4.64023E-2</v>
      </c>
    </row>
    <row r="101" spans="2:3" ht="14.1" customHeight="1">
      <c r="B101" s="274">
        <v>48899</v>
      </c>
      <c r="C101" s="276">
        <v>4.6538499999999997E-2</v>
      </c>
    </row>
    <row r="102" spans="2:3" ht="14.1" customHeight="1">
      <c r="B102" s="273">
        <v>48929</v>
      </c>
      <c r="C102" s="275">
        <v>4.6662599999999999E-2</v>
      </c>
    </row>
    <row r="103" spans="2:3" ht="14.1" customHeight="1">
      <c r="B103" s="274">
        <v>48960</v>
      </c>
      <c r="C103" s="276">
        <v>4.6805699999999999E-2</v>
      </c>
    </row>
    <row r="104" spans="2:3" ht="14.1" customHeight="1">
      <c r="B104" s="273">
        <v>48991</v>
      </c>
      <c r="C104" s="275">
        <v>4.6929899999999997E-2</v>
      </c>
    </row>
    <row r="105" spans="2:3" ht="14.1" customHeight="1">
      <c r="B105" s="274">
        <v>49019</v>
      </c>
      <c r="C105" s="276">
        <v>4.70654E-2</v>
      </c>
    </row>
    <row r="106" spans="2:3" ht="14.1" customHeight="1">
      <c r="B106" s="273">
        <v>49051</v>
      </c>
      <c r="C106" s="275">
        <v>4.7198400000000001E-2</v>
      </c>
    </row>
    <row r="107" spans="2:3" ht="14.1" customHeight="1">
      <c r="B107" s="274">
        <v>49080</v>
      </c>
      <c r="C107" s="276">
        <v>4.7326100000000003E-2</v>
      </c>
    </row>
    <row r="108" spans="2:3" ht="14.1" customHeight="1">
      <c r="B108" s="273">
        <v>49111</v>
      </c>
      <c r="C108" s="275">
        <v>4.7464600000000003E-2</v>
      </c>
    </row>
    <row r="109" spans="2:3" ht="14.1" customHeight="1">
      <c r="B109" s="274">
        <v>49142</v>
      </c>
      <c r="C109" s="276">
        <v>4.7580900000000002E-2</v>
      </c>
    </row>
    <row r="110" spans="2:3" ht="14.1" customHeight="1">
      <c r="B110" s="273">
        <v>49172</v>
      </c>
      <c r="C110" s="275">
        <v>4.7701599999999997E-2</v>
      </c>
    </row>
    <row r="111" spans="2:3" ht="14.1" customHeight="1">
      <c r="B111" s="274">
        <v>49205</v>
      </c>
      <c r="C111" s="276">
        <v>4.7828099999999998E-2</v>
      </c>
    </row>
    <row r="112" spans="2:3" ht="14.1" customHeight="1">
      <c r="B112" s="273">
        <v>49233</v>
      </c>
      <c r="C112" s="275">
        <v>4.7940099999999999E-2</v>
      </c>
    </row>
    <row r="113" spans="2:3" ht="14.1" customHeight="1">
      <c r="B113" s="274">
        <v>49264</v>
      </c>
      <c r="C113" s="276">
        <v>4.8059400000000002E-2</v>
      </c>
    </row>
    <row r="114" spans="2:3" ht="14.1" customHeight="1">
      <c r="B114" s="273">
        <v>49296</v>
      </c>
      <c r="C114" s="275">
        <v>4.8175599999999999E-2</v>
      </c>
    </row>
    <row r="115" spans="2:3" ht="14.1" customHeight="1">
      <c r="B115" s="274">
        <v>49325</v>
      </c>
      <c r="C115" s="276">
        <v>4.8279299999999997E-2</v>
      </c>
    </row>
    <row r="116" spans="2:3" ht="14.1" customHeight="1">
      <c r="B116" s="273">
        <v>49356</v>
      </c>
      <c r="C116" s="275">
        <v>4.83875E-2</v>
      </c>
    </row>
    <row r="117" spans="2:3" ht="14.1" customHeight="1">
      <c r="B117" s="274">
        <v>49384</v>
      </c>
      <c r="C117" s="276">
        <v>4.8513199999999999E-2</v>
      </c>
    </row>
    <row r="118" spans="2:3" ht="14.1" customHeight="1">
      <c r="B118" s="273">
        <v>49415</v>
      </c>
      <c r="C118" s="275">
        <v>4.8610300000000002E-2</v>
      </c>
    </row>
    <row r="119" spans="2:3" ht="14.1" customHeight="1">
      <c r="B119" s="274">
        <v>49445</v>
      </c>
      <c r="C119" s="276">
        <v>4.8721199999999999E-2</v>
      </c>
    </row>
    <row r="120" spans="2:3" ht="14.1" customHeight="1">
      <c r="B120" s="273">
        <v>49478</v>
      </c>
      <c r="C120" s="275">
        <v>4.8834799999999998E-2</v>
      </c>
    </row>
    <row r="121" spans="2:3" ht="14.1" customHeight="1">
      <c r="B121" s="274">
        <v>49506</v>
      </c>
      <c r="C121" s="276">
        <v>4.8929599999999997E-2</v>
      </c>
    </row>
    <row r="122" spans="2:3" ht="14.1" customHeight="1">
      <c r="B122" s="273">
        <v>49537</v>
      </c>
      <c r="C122" s="275">
        <v>4.9032800000000001E-2</v>
      </c>
    </row>
    <row r="123" spans="2:3" ht="14.1" customHeight="1">
      <c r="B123" s="274">
        <v>49569</v>
      </c>
      <c r="C123" s="276">
        <v>4.9133299999999998E-2</v>
      </c>
    </row>
    <row r="124" spans="2:3" ht="14.1" customHeight="1">
      <c r="B124" s="273">
        <v>49598</v>
      </c>
      <c r="C124" s="275">
        <v>4.9229599999999998E-2</v>
      </c>
    </row>
    <row r="125" spans="2:3" ht="14.1" customHeight="1">
      <c r="B125" s="274">
        <v>49629</v>
      </c>
      <c r="C125" s="276">
        <v>4.9337100000000002E-2</v>
      </c>
    </row>
    <row r="126" spans="2:3" ht="14.1" customHeight="1">
      <c r="B126" s="273">
        <v>49660</v>
      </c>
      <c r="C126" s="275">
        <v>4.9418400000000001E-2</v>
      </c>
    </row>
    <row r="127" spans="2:3" ht="14.1" customHeight="1">
      <c r="B127" s="274">
        <v>49690</v>
      </c>
      <c r="C127" s="276">
        <v>4.9510199999999997E-2</v>
      </c>
    </row>
    <row r="128" spans="2:3" ht="14.1" customHeight="1">
      <c r="B128" s="273">
        <v>49723</v>
      </c>
      <c r="C128" s="275">
        <v>4.96073E-2</v>
      </c>
    </row>
    <row r="129" spans="2:3" ht="14.1" customHeight="1">
      <c r="B129" s="274">
        <v>49751</v>
      </c>
      <c r="C129" s="276">
        <v>4.9693500000000002E-2</v>
      </c>
    </row>
    <row r="130" spans="2:3" ht="14.1" customHeight="1">
      <c r="B130" s="273">
        <v>49781</v>
      </c>
      <c r="C130" s="275">
        <v>4.9776300000000002E-2</v>
      </c>
    </row>
  </sheetData>
  <hyperlinks>
    <hyperlink ref="R4" r:id="rId1" xr:uid="{E017339F-A2AE-44BC-BB12-60147E98A3AF}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32</vt:i4>
      </vt:variant>
    </vt:vector>
  </HeadingPairs>
  <TitlesOfParts>
    <vt:vector size="37" baseType="lpstr"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  <vt:lpstr/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/>
  <dcterms:created xsi:type="dcterms:W3CDTF">2026-02-03T09:37:04Z</dcterms:created>
  <dcterms:modified xsi:type="dcterms:W3CDTF">2026-06-17T20:34:45Z</dcterms:modified>
</cp:coreProperties>
</file>