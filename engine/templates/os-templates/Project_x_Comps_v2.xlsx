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19B0CB5D-BE61-4CF2-96A7-78B679270E4C}" xr6:coauthVersionLast="47" xr6:coauthVersionMax="47" xr10:uidLastSave="{00000000-0000-0000-0000-000000000000}"/>
  <bookViews>
    <workbookView xWindow="62844" yWindow="0" windowWidth="29412" windowHeight="25296" xr2:uid="{00000000-000D-0000-FFFF-FFFF00000000}"/>
  </bookViews>
  <sheets>
    <sheet name="CoCo" sheetId="1" r:id="rId1"/>
    <sheet name="CoTrans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L17" i="2"/>
  <c r="K17" i="2"/>
  <c r="L16" i="2"/>
  <c r="K16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L19" i="2" s="1"/>
  <c r="K6" i="2"/>
  <c r="L5" i="2"/>
  <c r="L15" i="2" s="1"/>
  <c r="K5" i="2"/>
  <c r="AJ19" i="1"/>
  <c r="AJ18" i="1"/>
  <c r="AJ17" i="1"/>
  <c r="AJ16" i="1"/>
  <c r="AJ15" i="1"/>
  <c r="AJ14" i="1"/>
  <c r="AN12" i="1"/>
  <c r="K12" i="1"/>
  <c r="AN11" i="1"/>
  <c r="K11" i="1"/>
  <c r="AN10" i="1"/>
  <c r="K10" i="1"/>
  <c r="AN9" i="1"/>
  <c r="K9" i="1"/>
  <c r="AN8" i="1"/>
  <c r="Y8" i="1"/>
  <c r="K8" i="1"/>
  <c r="AN7" i="1"/>
  <c r="K7" i="1"/>
  <c r="AN6" i="1"/>
  <c r="K6" i="1"/>
  <c r="AN5" i="1"/>
  <c r="K5" i="1"/>
  <c r="J5" i="1"/>
  <c r="AE6" i="1" l="1"/>
  <c r="AD6" i="1"/>
  <c r="AC6" i="1"/>
  <c r="AE7" i="1"/>
  <c r="AD7" i="1"/>
  <c r="AC7" i="1"/>
  <c r="AE8" i="1"/>
  <c r="AD8" i="1"/>
  <c r="AC8" i="1"/>
  <c r="AE9" i="1"/>
  <c r="AD9" i="1"/>
  <c r="AC9" i="1"/>
  <c r="AE10" i="1"/>
  <c r="AD10" i="1"/>
  <c r="AC10" i="1"/>
  <c r="AE11" i="1"/>
  <c r="AD11" i="1"/>
  <c r="AC11" i="1"/>
  <c r="AE12" i="1"/>
  <c r="AD12" i="1"/>
  <c r="AC12" i="1"/>
  <c r="L14" i="2"/>
  <c r="L18" i="2"/>
  <c r="K19" i="2"/>
  <c r="K18" i="2"/>
  <c r="K15" i="2"/>
  <c r="K14" i="2"/>
  <c r="AA12" i="1"/>
  <c r="AG12" i="1"/>
  <c r="Y12" i="1"/>
  <c r="AH12" i="1"/>
  <c r="Z12" i="1"/>
  <c r="Y11" i="1"/>
  <c r="Z11" i="1"/>
  <c r="AA11" i="1"/>
  <c r="AG11" i="1"/>
  <c r="AH11" i="1"/>
  <c r="Y10" i="1"/>
  <c r="AH10" i="1"/>
  <c r="AA10" i="1"/>
  <c r="AG10" i="1"/>
  <c r="Z10" i="1"/>
  <c r="Y9" i="1"/>
  <c r="AA9" i="1"/>
  <c r="Z9" i="1"/>
  <c r="AG9" i="1"/>
  <c r="AH9" i="1"/>
  <c r="AH8" i="1"/>
  <c r="AA8" i="1"/>
  <c r="Z8" i="1"/>
  <c r="AG8" i="1"/>
  <c r="AH7" i="1"/>
  <c r="Z7" i="1"/>
  <c r="AG7" i="1"/>
  <c r="Y7" i="1"/>
  <c r="AA7" i="1"/>
  <c r="AA6" i="1"/>
  <c r="AH6" i="1"/>
  <c r="AG6" i="1"/>
  <c r="Y6" i="1"/>
  <c r="Z6" i="1"/>
  <c r="AG5" i="1"/>
  <c r="Z5" i="1"/>
  <c r="AH5" i="1"/>
  <c r="Y5" i="1"/>
  <c r="AA5" i="1"/>
  <c r="AC5" i="1"/>
  <c r="AD5" i="1"/>
  <c r="AE5" i="1"/>
  <c r="AG16" i="1" l="1"/>
  <c r="AG17" i="1"/>
  <c r="AG18" i="1"/>
  <c r="AG19" i="1"/>
  <c r="AG15" i="1"/>
  <c r="AG14" i="1"/>
  <c r="Z16" i="1"/>
  <c r="Z19" i="1"/>
  <c r="Z14" i="1"/>
  <c r="Z17" i="1"/>
  <c r="Z15" i="1"/>
  <c r="Z18" i="1"/>
  <c r="AH16" i="1"/>
  <c r="AH17" i="1"/>
  <c r="AH14" i="1"/>
  <c r="AH18" i="1"/>
  <c r="AH15" i="1"/>
  <c r="AH19" i="1"/>
  <c r="Y14" i="1"/>
  <c r="Y17" i="1"/>
  <c r="Y19" i="1"/>
  <c r="Y18" i="1"/>
  <c r="Y15" i="1"/>
  <c r="Y16" i="1"/>
  <c r="AA14" i="1"/>
  <c r="AA17" i="1"/>
  <c r="AA16" i="1"/>
  <c r="AA19" i="1"/>
  <c r="AA15" i="1"/>
  <c r="AA18" i="1"/>
  <c r="AC14" i="1"/>
  <c r="AC16" i="1"/>
  <c r="AC17" i="1"/>
  <c r="AC18" i="1"/>
  <c r="AC19" i="1"/>
  <c r="AC15" i="1"/>
  <c r="AD14" i="1"/>
  <c r="AD15" i="1"/>
  <c r="AD17" i="1"/>
  <c r="AD18" i="1"/>
  <c r="AD16" i="1"/>
  <c r="AD19" i="1"/>
  <c r="AE14" i="1"/>
  <c r="AE15" i="1"/>
  <c r="AE16" i="1"/>
  <c r="AE18" i="1"/>
  <c r="AE19" i="1"/>
  <c r="AE17" i="1"/>
</calcChain>
</file>

<file path=xl/sharedStrings.xml><?xml version="1.0" encoding="utf-8"?>
<sst xmlns="http://schemas.openxmlformats.org/spreadsheetml/2006/main" count="87" uniqueCount="62">
  <si>
    <t>Prices as of:</t>
  </si>
  <si>
    <t>All figures in each company's reporting currency, millions, except ratios.  |  Blue = input (cite in Source col)  •  Black = formula</t>
  </si>
  <si>
    <t>COMPARABLE COMPANIES (CoCo) — [Subsector]</t>
  </si>
  <si>
    <t xml:space="preserve">Shr. </t>
  </si>
  <si>
    <t>Net Debt</t>
  </si>
  <si>
    <t>EV</t>
  </si>
  <si>
    <t>YE</t>
  </si>
  <si>
    <t>Revenue</t>
  </si>
  <si>
    <t>EBITDA</t>
  </si>
  <si>
    <t>EBITDAaL</t>
  </si>
  <si>
    <t>EV / EBITDA</t>
  </si>
  <si>
    <t>EV / EBITDAaL</t>
  </si>
  <si>
    <t>EV / Revenue</t>
  </si>
  <si>
    <t>P / E</t>
  </si>
  <si>
    <t>Ticker</t>
  </si>
  <si>
    <t>Company</t>
  </si>
  <si>
    <t>CCY (FS)</t>
  </si>
  <si>
    <t>price</t>
  </si>
  <si>
    <t>outstanding</t>
  </si>
  <si>
    <t>Mkt Cap</t>
  </si>
  <si>
    <t>(excl. leases)</t>
  </si>
  <si>
    <t>(incl. leases)</t>
  </si>
  <si>
    <t>date</t>
  </si>
  <si>
    <t>LFY</t>
  </si>
  <si>
    <t>LFY+1</t>
  </si>
  <si>
    <t>LFY-1</t>
  </si>
  <si>
    <t>LTM</t>
  </si>
  <si>
    <t>Source</t>
  </si>
  <si>
    <t>CCY (Px)</t>
  </si>
  <si>
    <t>FX?</t>
  </si>
  <si>
    <t>Mean</t>
  </si>
  <si>
    <t>Median</t>
  </si>
  <si>
    <t>75th %ile</t>
  </si>
  <si>
    <t>25th %ile</t>
  </si>
  <si>
    <t>Min</t>
  </si>
  <si>
    <t>Max</t>
  </si>
  <si>
    <t>NOTES &amp; METHODOLOGY</t>
  </si>
  <si>
    <t>• EV = Market Cap + Net Debt (formula). Net Debt entered POSITIVE (negative = net cash).</t>
  </si>
  <si>
    <t>• EV/EBITDA &amp; EV/Revenue (LFY, LFY+1) are formulas (EV / metric). LFY-1 multiples and P/E (LTM) are sourced inputs.</t>
  </si>
  <si>
    <t>• LFY+1 Revenue/EBITDA are SOURCED INPUTS (IR presentation / mgmt guidance / research), operator-approved — NOT an auto-growth proxy.</t>
  </si>
  <si>
    <t>• CCY (FS) vs CCY (Px): if they differ, the FX? flag (last col) shows MISMATCH — resolve before quoting multiples.</t>
  </si>
  <si>
    <t>• Blue = input (each cited in the Source column). Black = formula. Stats: Mean / Median / 75th &amp; 25th percentile / Min / Max.</t>
  </si>
  <si>
    <t>• One block = one subsector. The comps skill stamps a fresh block per approved subsector and re-bases the stat ranges.</t>
  </si>
  <si>
    <t>PRECEDENT TRANSACTIONS (CoTrans) — [Subsector]</t>
  </si>
  <si>
    <t>Pulled from the precedent-transactions tracker (subsector + last 5y) + deep-research gap-fill.  EV/Revenue &amp; EV/EBITDA are formulas; every figure cited in Source.</t>
  </si>
  <si>
    <t>Date</t>
  </si>
  <si>
    <t>Target</t>
  </si>
  <si>
    <t>Acquirer</t>
  </si>
  <si>
    <t>Country</t>
  </si>
  <si>
    <t>Target Description</t>
  </si>
  <si>
    <t>CCY</t>
  </si>
  <si>
    <t>EV (m)</t>
  </si>
  <si>
    <t>Revenue (m)</t>
  </si>
  <si>
    <t>EBITDA (m)</t>
  </si>
  <si>
    <t>EV/Revenue</t>
  </si>
  <si>
    <t>EV/EBITDA</t>
  </si>
  <si>
    <t>Strategic Commentary</t>
  </si>
  <si>
    <t>NOTES</t>
  </si>
  <si>
    <t>• EV/Revenue = EV/Revenue; EV/EBITDA = EV/EBITDA (formulas). Where only a multiple is reported, paste it and cite the Source.</t>
  </si>
  <si>
    <t>• Strategic Commentary = WHY this deal is a relevant comp (rationale, synergies, multiple basis e.g. pre/post-synergy).</t>
  </si>
  <si>
    <t>• Deals with no multiple may still be included (shows sector activity) — note that in Strategic Commentary.</t>
  </si>
  <si>
    <t>• Columns mirror the precedent-transactions tracker so rows copy straight across.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</si>
</sst>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&quot;x&quot;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i/>
      <sz val="9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7365D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vertical="center"/>
    </xf>
    <xf numFmtId="165" fontId="0" fillId="4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showGridLines="0" tabSelected="1" zoomScale="85" zoomScaleNormal="85" workbookViewId="0">
      <pane ySplit="4" topLeftCell="A5" activePane="bottomLeft" state="frozen"/>
      <selection pane="bottomLeft" activeCell="J5" sqref="J5:J12"/>
    </sheetView>
  </sheetViews>
  <sheetFormatPr defaultRowHeight="14.4" x14ac:dyDescent="0.3"/>
  <cols>
    <col min="1" max="1" width="12" style="4" customWidth="1"/>
    <col min="2" max="2" width="11" style="4" customWidth="1"/>
    <col min="3" max="3" width="20" style="4" customWidth="1"/>
    <col min="4" max="5" width="9" style="4" customWidth="1"/>
    <col min="6" max="6" width="10.44140625" style="4" customWidth="1"/>
    <col min="7" max="11" width="10" style="4" customWidth="1"/>
    <col min="12" max="12" width="12" style="4" customWidth="1"/>
    <col min="13" max="13" width="1.77734375" style="4" customWidth="1"/>
    <col min="14" max="15" width="9" style="4" customWidth="1"/>
    <col min="16" max="16" width="1.77734375" style="4" customWidth="1"/>
    <col min="17" max="19" width="9" style="4" customWidth="1"/>
    <col min="20" max="20" width="1.77734375" style="4" customWidth="1"/>
    <col min="21" max="23" width="9" style="4" customWidth="1"/>
    <col min="24" max="24" width="1.77734375" style="4" customWidth="1"/>
    <col min="25" max="27" width="8" style="4" customWidth="1"/>
    <col min="28" max="28" width="1.77734375" style="4" customWidth="1"/>
    <col min="29" max="31" width="8" style="4" customWidth="1"/>
    <col min="32" max="32" width="1.77734375" style="4" customWidth="1"/>
    <col min="33" max="34" width="8" style="4" customWidth="1"/>
    <col min="35" max="35" width="1.77734375" style="4" customWidth="1"/>
    <col min="36" max="36" width="8" style="4" customWidth="1"/>
    <col min="37" max="37" width="2" style="4" customWidth="1"/>
    <col min="38" max="38" width="35.88671875" style="4" customWidth="1"/>
    <col min="39" max="39" width="11.109375" style="4" customWidth="1"/>
    <col min="40" max="40" width="11.77734375" style="4" customWidth="1"/>
    <col min="41" max="41" width="8.88671875" style="4" customWidth="1"/>
    <col min="42" max="16384" width="8.88671875" style="4"/>
  </cols>
  <sheetData>
    <row r="1" spans="1:40" x14ac:dyDescent="0.3">
      <c r="A1" s="1" t="s">
        <v>0</v>
      </c>
      <c r="B1" s="2"/>
      <c r="C1" s="3" t="s">
        <v>1</v>
      </c>
    </row>
    <row r="2" spans="1:40" ht="15.6" customHeight="1" x14ac:dyDescent="0.3">
      <c r="A2" s="5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40" x14ac:dyDescent="0.3">
      <c r="B3" s="7"/>
      <c r="C3" s="7"/>
      <c r="D3" s="7"/>
      <c r="E3" s="7" t="s">
        <v>3</v>
      </c>
      <c r="F3" s="7" t="s">
        <v>3</v>
      </c>
      <c r="G3" s="7"/>
      <c r="H3" s="7" t="s">
        <v>4</v>
      </c>
      <c r="I3" s="7" t="s">
        <v>4</v>
      </c>
      <c r="J3" s="7" t="s">
        <v>5</v>
      </c>
      <c r="K3" s="7" t="s">
        <v>5</v>
      </c>
      <c r="L3" s="7" t="s">
        <v>6</v>
      </c>
      <c r="M3" s="8"/>
      <c r="N3" s="9" t="s">
        <v>7</v>
      </c>
      <c r="O3" s="9"/>
      <c r="P3" s="8"/>
      <c r="Q3" s="7"/>
      <c r="R3" s="7" t="s">
        <v>8</v>
      </c>
      <c r="S3" s="7"/>
      <c r="T3" s="8"/>
      <c r="U3" s="7"/>
      <c r="V3" s="7" t="s">
        <v>9</v>
      </c>
      <c r="W3" s="7"/>
      <c r="X3" s="8"/>
      <c r="Y3" s="9" t="s">
        <v>10</v>
      </c>
      <c r="Z3" s="9"/>
      <c r="AA3" s="9"/>
      <c r="AB3" s="8"/>
      <c r="AC3" s="9" t="s">
        <v>11</v>
      </c>
      <c r="AD3" s="9"/>
      <c r="AE3" s="9"/>
      <c r="AF3" s="8"/>
      <c r="AG3" s="9" t="s">
        <v>12</v>
      </c>
      <c r="AH3" s="9"/>
      <c r="AI3" s="8"/>
      <c r="AJ3" s="7" t="s">
        <v>13</v>
      </c>
      <c r="AK3" s="8"/>
      <c r="AL3" s="7"/>
      <c r="AM3" s="7"/>
      <c r="AN3" s="7"/>
    </row>
    <row r="4" spans="1:40" x14ac:dyDescent="0.3"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20</v>
      </c>
      <c r="K4" s="7" t="s">
        <v>21</v>
      </c>
      <c r="L4" s="7" t="s">
        <v>22</v>
      </c>
      <c r="M4" s="8"/>
      <c r="N4" s="7" t="s">
        <v>23</v>
      </c>
      <c r="O4" s="7" t="s">
        <v>24</v>
      </c>
      <c r="P4" s="8"/>
      <c r="Q4" s="7" t="s">
        <v>25</v>
      </c>
      <c r="R4" s="7" t="s">
        <v>23</v>
      </c>
      <c r="S4" s="7" t="s">
        <v>24</v>
      </c>
      <c r="U4" s="7" t="s">
        <v>25</v>
      </c>
      <c r="V4" s="7" t="s">
        <v>23</v>
      </c>
      <c r="W4" s="7" t="s">
        <v>24</v>
      </c>
      <c r="Y4" s="7" t="s">
        <v>25</v>
      </c>
      <c r="Z4" s="7" t="s">
        <v>23</v>
      </c>
      <c r="AA4" s="7" t="s">
        <v>24</v>
      </c>
      <c r="AC4" s="7" t="s">
        <v>25</v>
      </c>
      <c r="AD4" s="7" t="s">
        <v>23</v>
      </c>
      <c r="AE4" s="7" t="s">
        <v>24</v>
      </c>
      <c r="AG4" s="7" t="s">
        <v>23</v>
      </c>
      <c r="AH4" s="7" t="s">
        <v>24</v>
      </c>
      <c r="AJ4" s="7" t="s">
        <v>26</v>
      </c>
      <c r="AL4" s="7" t="s">
        <v>27</v>
      </c>
      <c r="AM4" s="7" t="s">
        <v>28</v>
      </c>
      <c r="AN4" s="7" t="s">
        <v>29</v>
      </c>
    </row>
    <row r="5" spans="1:40" x14ac:dyDescent="0.3">
      <c r="B5" s="10"/>
      <c r="C5" s="10"/>
      <c r="D5" s="10"/>
      <c r="E5" s="10"/>
      <c r="F5" s="10"/>
      <c r="G5" s="11"/>
      <c r="H5" s="11"/>
      <c r="I5" s="11"/>
      <c r="J5" s="24" t="str">
        <f>IF(COUNT(G5,H5)=0,"",SUM(G5,H5))</f>
        <v/>
      </c>
      <c r="K5" s="24" t="str">
        <f>IF(COUNT(G5,I5)=0,"",SUM(G5,I5))</f>
        <v/>
      </c>
      <c r="L5" s="13"/>
      <c r="M5" s="11"/>
      <c r="N5" s="11"/>
      <c r="O5" s="11"/>
      <c r="P5" s="11"/>
      <c r="Q5" s="11"/>
      <c r="R5" s="11"/>
      <c r="S5" s="11"/>
      <c r="T5" s="14"/>
      <c r="U5" s="11"/>
      <c r="V5" s="11"/>
      <c r="W5" s="11"/>
      <c r="X5" s="14"/>
      <c r="Y5" s="15" t="str">
        <f t="shared" ref="Y5:Y12" si="0">IFERROR(K5/Q5,"")</f>
        <v/>
      </c>
      <c r="Z5" s="15" t="str">
        <f t="shared" ref="Z5:Z12" si="1">IFERROR(K5/R5,"")</f>
        <v/>
      </c>
      <c r="AA5" s="15" t="str">
        <f t="shared" ref="AA5:AA12" si="2">IFERROR(K5/S5,"")</f>
        <v/>
      </c>
      <c r="AB5" s="14"/>
      <c r="AC5" s="15" t="str">
        <f t="shared" ref="AC5:AC12" si="3">IFERROR(J5/U5,"")</f>
        <v/>
      </c>
      <c r="AD5" s="15" t="str">
        <f t="shared" ref="AD5:AD12" si="4">IFERROR(J5/V5,"")</f>
        <v/>
      </c>
      <c r="AE5" s="15" t="str">
        <f t="shared" ref="AE5:AE12" si="5">IFERROR(J5/W5,"")</f>
        <v/>
      </c>
      <c r="AF5" s="14"/>
      <c r="AG5" s="15" t="str">
        <f t="shared" ref="AG5:AG12" si="6">IFERROR(K5/N5,"")</f>
        <v/>
      </c>
      <c r="AH5" s="15" t="str">
        <f t="shared" ref="AH5:AH12" si="7">IFERROR(K5/O5,"")</f>
        <v/>
      </c>
      <c r="AI5" s="14"/>
      <c r="AJ5" s="16"/>
      <c r="AK5" s="14"/>
      <c r="AL5" s="10"/>
      <c r="AM5" s="10"/>
      <c r="AN5" s="17" t="str">
        <f t="shared" ref="AN5:AN12" si="8">IF(OR(D5="",AM5=""),"",IF(D5=AM5,"ok","MISMATCH"))</f>
        <v/>
      </c>
    </row>
    <row r="6" spans="1:40" x14ac:dyDescent="0.3">
      <c r="B6" s="10"/>
      <c r="C6" s="10"/>
      <c r="D6" s="10"/>
      <c r="E6" s="10"/>
      <c r="F6" s="10"/>
      <c r="G6" s="11"/>
      <c r="H6" s="11"/>
      <c r="I6" s="11"/>
      <c r="J6" s="24" t="str">
        <f t="shared" ref="J6:J12" si="9">IF(COUNT(G6,H6)=0,"",SUM(G6,H6))</f>
        <v/>
      </c>
      <c r="K6" s="12" t="str">
        <f t="shared" ref="K6:K12" si="10">IF(COUNT(G6:H6)=0,"",SUM(G6:H6))</f>
        <v/>
      </c>
      <c r="L6" s="13"/>
      <c r="M6" s="11"/>
      <c r="N6" s="11"/>
      <c r="O6" s="11"/>
      <c r="P6" s="11"/>
      <c r="Q6" s="11"/>
      <c r="R6" s="11"/>
      <c r="S6" s="11"/>
      <c r="T6" s="14"/>
      <c r="U6" s="11"/>
      <c r="V6" s="11"/>
      <c r="W6" s="11"/>
      <c r="X6" s="14"/>
      <c r="Y6" s="15" t="str">
        <f t="shared" si="0"/>
        <v/>
      </c>
      <c r="Z6" s="15" t="str">
        <f t="shared" si="1"/>
        <v/>
      </c>
      <c r="AA6" s="15" t="str">
        <f t="shared" si="2"/>
        <v/>
      </c>
      <c r="AB6" s="14"/>
      <c r="AC6" s="15" t="str">
        <f t="shared" si="3"/>
        <v/>
      </c>
      <c r="AD6" s="15" t="str">
        <f t="shared" si="4"/>
        <v/>
      </c>
      <c r="AE6" s="15" t="str">
        <f t="shared" si="5"/>
        <v/>
      </c>
      <c r="AF6" s="14"/>
      <c r="AG6" s="15" t="str">
        <f t="shared" si="6"/>
        <v/>
      </c>
      <c r="AH6" s="15" t="str">
        <f t="shared" si="7"/>
        <v/>
      </c>
      <c r="AI6" s="14"/>
      <c r="AJ6" s="16"/>
      <c r="AK6" s="14"/>
      <c r="AL6" s="10"/>
      <c r="AM6" s="10"/>
      <c r="AN6" s="17" t="str">
        <f t="shared" si="8"/>
        <v/>
      </c>
    </row>
    <row r="7" spans="1:40" x14ac:dyDescent="0.3">
      <c r="B7" s="10"/>
      <c r="C7" s="10"/>
      <c r="D7" s="10"/>
      <c r="E7" s="10"/>
      <c r="F7" s="10"/>
      <c r="G7" s="11"/>
      <c r="H7" s="11"/>
      <c r="I7" s="11"/>
      <c r="J7" s="24" t="str">
        <f t="shared" si="9"/>
        <v/>
      </c>
      <c r="K7" s="12" t="str">
        <f t="shared" si="10"/>
        <v/>
      </c>
      <c r="L7" s="13"/>
      <c r="M7" s="11"/>
      <c r="N7" s="11"/>
      <c r="O7" s="11"/>
      <c r="P7" s="11"/>
      <c r="Q7" s="11"/>
      <c r="R7" s="11"/>
      <c r="S7" s="11"/>
      <c r="T7" s="14"/>
      <c r="U7" s="11"/>
      <c r="V7" s="11"/>
      <c r="W7" s="11"/>
      <c r="X7" s="14"/>
      <c r="Y7" s="15" t="str">
        <f t="shared" si="0"/>
        <v/>
      </c>
      <c r="Z7" s="15" t="str">
        <f t="shared" si="1"/>
        <v/>
      </c>
      <c r="AA7" s="15" t="str">
        <f t="shared" si="2"/>
        <v/>
      </c>
      <c r="AB7" s="14"/>
      <c r="AC7" s="15" t="str">
        <f t="shared" si="3"/>
        <v/>
      </c>
      <c r="AD7" s="15" t="str">
        <f t="shared" si="4"/>
        <v/>
      </c>
      <c r="AE7" s="15" t="str">
        <f t="shared" si="5"/>
        <v/>
      </c>
      <c r="AF7" s="14"/>
      <c r="AG7" s="15" t="str">
        <f t="shared" si="6"/>
        <v/>
      </c>
      <c r="AH7" s="15" t="str">
        <f t="shared" si="7"/>
        <v/>
      </c>
      <c r="AI7" s="14"/>
      <c r="AJ7" s="16"/>
      <c r="AK7" s="14"/>
      <c r="AL7" s="10"/>
      <c r="AM7" s="10"/>
      <c r="AN7" s="17" t="str">
        <f t="shared" si="8"/>
        <v/>
      </c>
    </row>
    <row r="8" spans="1:40" x14ac:dyDescent="0.3">
      <c r="B8" s="10"/>
      <c r="C8" s="10"/>
      <c r="D8" s="10"/>
      <c r="E8" s="10"/>
      <c r="F8" s="10"/>
      <c r="G8" s="11"/>
      <c r="H8" s="11"/>
      <c r="I8" s="11"/>
      <c r="J8" s="24" t="str">
        <f t="shared" si="9"/>
        <v/>
      </c>
      <c r="K8" s="12" t="str">
        <f t="shared" si="10"/>
        <v/>
      </c>
      <c r="L8" s="13"/>
      <c r="M8" s="11"/>
      <c r="N8" s="11"/>
      <c r="O8" s="11"/>
      <c r="P8" s="11"/>
      <c r="Q8" s="11"/>
      <c r="R8" s="11"/>
      <c r="S8" s="11"/>
      <c r="T8" s="14"/>
      <c r="U8" s="11"/>
      <c r="V8" s="11"/>
      <c r="W8" s="11"/>
      <c r="X8" s="14"/>
      <c r="Y8" s="15" t="str">
        <f t="shared" si="0"/>
        <v/>
      </c>
      <c r="Z8" s="15" t="str">
        <f t="shared" si="1"/>
        <v/>
      </c>
      <c r="AA8" s="15" t="str">
        <f t="shared" si="2"/>
        <v/>
      </c>
      <c r="AB8" s="14"/>
      <c r="AC8" s="15" t="str">
        <f t="shared" si="3"/>
        <v/>
      </c>
      <c r="AD8" s="15" t="str">
        <f t="shared" si="4"/>
        <v/>
      </c>
      <c r="AE8" s="15" t="str">
        <f t="shared" si="5"/>
        <v/>
      </c>
      <c r="AF8" s="14"/>
      <c r="AG8" s="15" t="str">
        <f t="shared" si="6"/>
        <v/>
      </c>
      <c r="AH8" s="15" t="str">
        <f t="shared" si="7"/>
        <v/>
      </c>
      <c r="AI8" s="14"/>
      <c r="AJ8" s="16"/>
      <c r="AK8" s="14"/>
      <c r="AL8" s="10"/>
      <c r="AM8" s="10"/>
      <c r="AN8" s="17" t="str">
        <f t="shared" si="8"/>
        <v/>
      </c>
    </row>
    <row r="9" spans="1:40" x14ac:dyDescent="0.3">
      <c r="B9" s="10"/>
      <c r="C9" s="10"/>
      <c r="D9" s="10"/>
      <c r="E9" s="10"/>
      <c r="F9" s="10"/>
      <c r="G9" s="11"/>
      <c r="H9" s="11"/>
      <c r="I9" s="11"/>
      <c r="J9" s="24" t="str">
        <f t="shared" si="9"/>
        <v/>
      </c>
      <c r="K9" s="12" t="str">
        <f t="shared" si="10"/>
        <v/>
      </c>
      <c r="L9" s="13"/>
      <c r="M9" s="11"/>
      <c r="N9" s="11"/>
      <c r="O9" s="11"/>
      <c r="P9" s="11"/>
      <c r="Q9" s="11"/>
      <c r="R9" s="11"/>
      <c r="S9" s="11"/>
      <c r="T9" s="14"/>
      <c r="U9" s="11"/>
      <c r="V9" s="11"/>
      <c r="W9" s="11"/>
      <c r="X9" s="14"/>
      <c r="Y9" s="15" t="str">
        <f t="shared" si="0"/>
        <v/>
      </c>
      <c r="Z9" s="15" t="str">
        <f t="shared" si="1"/>
        <v/>
      </c>
      <c r="AA9" s="15" t="str">
        <f t="shared" si="2"/>
        <v/>
      </c>
      <c r="AB9" s="14"/>
      <c r="AC9" s="15" t="str">
        <f t="shared" si="3"/>
        <v/>
      </c>
      <c r="AD9" s="15" t="str">
        <f t="shared" si="4"/>
        <v/>
      </c>
      <c r="AE9" s="15" t="str">
        <f t="shared" si="5"/>
        <v/>
      </c>
      <c r="AF9" s="14"/>
      <c r="AG9" s="15" t="str">
        <f t="shared" si="6"/>
        <v/>
      </c>
      <c r="AH9" s="15" t="str">
        <f t="shared" si="7"/>
        <v/>
      </c>
      <c r="AI9" s="14"/>
      <c r="AJ9" s="16"/>
      <c r="AK9" s="14"/>
      <c r="AL9" s="10"/>
      <c r="AM9" s="10"/>
      <c r="AN9" s="17" t="str">
        <f t="shared" si="8"/>
        <v/>
      </c>
    </row>
    <row r="10" spans="1:40" x14ac:dyDescent="0.3">
      <c r="B10" s="10"/>
      <c r="C10" s="10"/>
      <c r="D10" s="10"/>
      <c r="E10" s="10"/>
      <c r="F10" s="10"/>
      <c r="G10" s="11"/>
      <c r="H10" s="11"/>
      <c r="I10" s="11"/>
      <c r="J10" s="24" t="str">
        <f t="shared" si="9"/>
        <v/>
      </c>
      <c r="K10" s="12" t="str">
        <f t="shared" si="10"/>
        <v/>
      </c>
      <c r="L10" s="13"/>
      <c r="M10" s="11"/>
      <c r="N10" s="11"/>
      <c r="O10" s="11"/>
      <c r="P10" s="11"/>
      <c r="Q10" s="11"/>
      <c r="R10" s="11"/>
      <c r="S10" s="11"/>
      <c r="T10" s="14"/>
      <c r="U10" s="11"/>
      <c r="V10" s="11"/>
      <c r="W10" s="11"/>
      <c r="X10" s="14"/>
      <c r="Y10" s="15" t="str">
        <f t="shared" si="0"/>
        <v/>
      </c>
      <c r="Z10" s="15" t="str">
        <f t="shared" si="1"/>
        <v/>
      </c>
      <c r="AA10" s="15" t="str">
        <f t="shared" si="2"/>
        <v/>
      </c>
      <c r="AB10" s="14"/>
      <c r="AC10" s="15" t="str">
        <f t="shared" si="3"/>
        <v/>
      </c>
      <c r="AD10" s="15" t="str">
        <f t="shared" si="4"/>
        <v/>
      </c>
      <c r="AE10" s="15" t="str">
        <f t="shared" si="5"/>
        <v/>
      </c>
      <c r="AF10" s="14"/>
      <c r="AG10" s="15" t="str">
        <f t="shared" si="6"/>
        <v/>
      </c>
      <c r="AH10" s="15" t="str">
        <f t="shared" si="7"/>
        <v/>
      </c>
      <c r="AI10" s="14"/>
      <c r="AJ10" s="16"/>
      <c r="AK10" s="14"/>
      <c r="AL10" s="10"/>
      <c r="AM10" s="10"/>
      <c r="AN10" s="17" t="str">
        <f t="shared" si="8"/>
        <v/>
      </c>
    </row>
    <row r="11" spans="1:40" x14ac:dyDescent="0.3">
      <c r="B11" s="10"/>
      <c r="C11" s="10"/>
      <c r="D11" s="10"/>
      <c r="E11" s="10"/>
      <c r="F11" s="10"/>
      <c r="G11" s="11"/>
      <c r="H11" s="11"/>
      <c r="I11" s="11"/>
      <c r="J11" s="24" t="str">
        <f t="shared" si="9"/>
        <v/>
      </c>
      <c r="K11" s="12" t="str">
        <f t="shared" si="10"/>
        <v/>
      </c>
      <c r="L11" s="13"/>
      <c r="M11" s="11"/>
      <c r="N11" s="11"/>
      <c r="O11" s="11"/>
      <c r="P11" s="11"/>
      <c r="Q11" s="11"/>
      <c r="R11" s="11"/>
      <c r="S11" s="11"/>
      <c r="T11" s="14"/>
      <c r="U11" s="11"/>
      <c r="V11" s="11"/>
      <c r="W11" s="11"/>
      <c r="X11" s="14"/>
      <c r="Y11" s="15" t="str">
        <f t="shared" si="0"/>
        <v/>
      </c>
      <c r="Z11" s="15" t="str">
        <f t="shared" si="1"/>
        <v/>
      </c>
      <c r="AA11" s="15" t="str">
        <f t="shared" si="2"/>
        <v/>
      </c>
      <c r="AB11" s="14"/>
      <c r="AC11" s="15" t="str">
        <f t="shared" si="3"/>
        <v/>
      </c>
      <c r="AD11" s="15" t="str">
        <f t="shared" si="4"/>
        <v/>
      </c>
      <c r="AE11" s="15" t="str">
        <f t="shared" si="5"/>
        <v/>
      </c>
      <c r="AF11" s="14"/>
      <c r="AG11" s="15" t="str">
        <f t="shared" si="6"/>
        <v/>
      </c>
      <c r="AH11" s="15" t="str">
        <f t="shared" si="7"/>
        <v/>
      </c>
      <c r="AI11" s="14"/>
      <c r="AJ11" s="16"/>
      <c r="AK11" s="14"/>
      <c r="AL11" s="10"/>
      <c r="AM11" s="10"/>
      <c r="AN11" s="17" t="str">
        <f t="shared" si="8"/>
        <v/>
      </c>
    </row>
    <row r="12" spans="1:40" x14ac:dyDescent="0.3">
      <c r="B12" s="10"/>
      <c r="C12" s="10"/>
      <c r="D12" s="10"/>
      <c r="E12" s="10"/>
      <c r="F12" s="10"/>
      <c r="G12" s="11"/>
      <c r="H12" s="11"/>
      <c r="I12" s="11"/>
      <c r="J12" s="24" t="str">
        <f t="shared" si="9"/>
        <v/>
      </c>
      <c r="K12" s="12" t="str">
        <f t="shared" si="10"/>
        <v/>
      </c>
      <c r="L12" s="13"/>
      <c r="M12" s="11"/>
      <c r="N12" s="11"/>
      <c r="O12" s="11"/>
      <c r="P12" s="11"/>
      <c r="Q12" s="11"/>
      <c r="R12" s="11"/>
      <c r="S12" s="11"/>
      <c r="T12" s="14"/>
      <c r="U12" s="11"/>
      <c r="V12" s="11"/>
      <c r="W12" s="11"/>
      <c r="X12" s="14"/>
      <c r="Y12" s="15" t="str">
        <f t="shared" si="0"/>
        <v/>
      </c>
      <c r="Z12" s="15" t="str">
        <f t="shared" si="1"/>
        <v/>
      </c>
      <c r="AA12" s="15" t="str">
        <f t="shared" si="2"/>
        <v/>
      </c>
      <c r="AB12" s="14"/>
      <c r="AC12" s="15" t="str">
        <f t="shared" si="3"/>
        <v/>
      </c>
      <c r="AD12" s="15" t="str">
        <f t="shared" si="4"/>
        <v/>
      </c>
      <c r="AE12" s="15" t="str">
        <f t="shared" si="5"/>
        <v/>
      </c>
      <c r="AF12" s="14"/>
      <c r="AG12" s="15" t="str">
        <f t="shared" si="6"/>
        <v/>
      </c>
      <c r="AH12" s="15" t="str">
        <f t="shared" si="7"/>
        <v/>
      </c>
      <c r="AI12" s="14"/>
      <c r="AJ12" s="16"/>
      <c r="AK12" s="14"/>
      <c r="AL12" s="10"/>
      <c r="AM12" s="10"/>
      <c r="AN12" s="17" t="str">
        <f t="shared" si="8"/>
        <v/>
      </c>
    </row>
    <row r="14" spans="1:40" x14ac:dyDescent="0.3">
      <c r="B14" s="18" t="s">
        <v>30</v>
      </c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 t="str">
        <f>IFERROR(AVERAGE(Y5:Y12),"")</f>
        <v/>
      </c>
      <c r="Z14" s="20" t="str">
        <f>IFERROR(AVERAGE(Z5:Z12),"")</f>
        <v/>
      </c>
      <c r="AA14" s="20" t="str">
        <f>IFERROR(AVERAGE(AA5:AA12),"")</f>
        <v/>
      </c>
      <c r="AB14" s="19"/>
      <c r="AC14" s="20" t="str">
        <f>IFERROR(AVERAGE(AC5:AC12),"")</f>
        <v/>
      </c>
      <c r="AD14" s="20" t="str">
        <f>IFERROR(AVERAGE(AD5:AD12),"")</f>
        <v/>
      </c>
      <c r="AE14" s="20" t="str">
        <f>IFERROR(AVERAGE(AE5:AE12),"")</f>
        <v/>
      </c>
      <c r="AF14" s="19"/>
      <c r="AG14" s="20" t="str">
        <f>IFERROR(AVERAGE(AG5:AG12),"")</f>
        <v/>
      </c>
      <c r="AH14" s="20" t="str">
        <f>IFERROR(AVERAGE(AH5:AH12),"")</f>
        <v/>
      </c>
      <c r="AI14" s="19"/>
      <c r="AJ14" s="20" t="str">
        <f>IFERROR(AVERAGE(AJ5:AJ12),"")</f>
        <v/>
      </c>
    </row>
    <row r="15" spans="1:40" x14ac:dyDescent="0.3">
      <c r="B15" s="18" t="s">
        <v>31</v>
      </c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 t="str">
        <f>IFERROR(MEDIAN(Y5:Y12),"")</f>
        <v/>
      </c>
      <c r="Z15" s="20" t="str">
        <f>IFERROR(MEDIAN(Z5:Z12),"")</f>
        <v/>
      </c>
      <c r="AA15" s="20" t="str">
        <f>IFERROR(MEDIAN(AA5:AA12),"")</f>
        <v/>
      </c>
      <c r="AB15" s="19"/>
      <c r="AC15" s="20" t="str">
        <f>IFERROR(MEDIAN(AC5:AC12),"")</f>
        <v/>
      </c>
      <c r="AD15" s="20" t="str">
        <f>IFERROR(MEDIAN(AD5:AD12),"")</f>
        <v/>
      </c>
      <c r="AE15" s="20" t="str">
        <f>IFERROR(MEDIAN(AE5:AE12),"")</f>
        <v/>
      </c>
      <c r="AF15" s="19"/>
      <c r="AG15" s="20" t="str">
        <f>IFERROR(MEDIAN(AG5:AG12),"")</f>
        <v/>
      </c>
      <c r="AH15" s="20" t="str">
        <f>IFERROR(MEDIAN(AH5:AH12),"")</f>
        <v/>
      </c>
      <c r="AI15" s="19"/>
      <c r="AJ15" s="20" t="str">
        <f>IFERROR(MEDIAN(AJ5:AJ12),"")</f>
        <v/>
      </c>
    </row>
    <row r="16" spans="1:40" x14ac:dyDescent="0.3">
      <c r="B16" s="18" t="s">
        <v>32</v>
      </c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 t="str">
        <f>IFERROR(QUARTILE(Y5:Y12,3),"")</f>
        <v/>
      </c>
      <c r="Z16" s="20" t="str">
        <f>IFERROR(QUARTILE(Z5:Z12,3),"")</f>
        <v/>
      </c>
      <c r="AA16" s="20" t="str">
        <f>IFERROR(QUARTILE(AA5:AA12,3),"")</f>
        <v/>
      </c>
      <c r="AB16" s="19"/>
      <c r="AC16" s="20" t="str">
        <f>IFERROR(QUARTILE(AC5:AC12,3),"")</f>
        <v/>
      </c>
      <c r="AD16" s="20" t="str">
        <f>IFERROR(QUARTILE(AD5:AD12,3),"")</f>
        <v/>
      </c>
      <c r="AE16" s="20" t="str">
        <f>IFERROR(QUARTILE(AE5:AE12,3),"")</f>
        <v/>
      </c>
      <c r="AF16" s="19"/>
      <c r="AG16" s="20" t="str">
        <f>IFERROR(QUARTILE(AG5:AG12,3),"")</f>
        <v/>
      </c>
      <c r="AH16" s="20" t="str">
        <f>IFERROR(QUARTILE(AH5:AH12,3),"")</f>
        <v/>
      </c>
      <c r="AI16" s="19"/>
      <c r="AJ16" s="20" t="str">
        <f>IFERROR(QUARTILE(AJ5:AJ12,3),"")</f>
        <v/>
      </c>
    </row>
    <row r="17" spans="2:36" x14ac:dyDescent="0.3">
      <c r="B17" s="18" t="s">
        <v>33</v>
      </c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 t="str">
        <f>IFERROR(QUARTILE(Y5:Y12,1),"")</f>
        <v/>
      </c>
      <c r="Z17" s="20" t="str">
        <f>IFERROR(QUARTILE(Z5:Z12,1),"")</f>
        <v/>
      </c>
      <c r="AA17" s="20" t="str">
        <f>IFERROR(QUARTILE(AA5:AA12,1),"")</f>
        <v/>
      </c>
      <c r="AB17" s="19"/>
      <c r="AC17" s="20" t="str">
        <f>IFERROR(QUARTILE(AC5:AC12,1),"")</f>
        <v/>
      </c>
      <c r="AD17" s="20" t="str">
        <f>IFERROR(QUARTILE(AD5:AD12,1),"")</f>
        <v/>
      </c>
      <c r="AE17" s="20" t="str">
        <f>IFERROR(QUARTILE(AE5:AE12,1),"")</f>
        <v/>
      </c>
      <c r="AF17" s="19"/>
      <c r="AG17" s="20" t="str">
        <f>IFERROR(QUARTILE(AG5:AG12,1),"")</f>
        <v/>
      </c>
      <c r="AH17" s="20" t="str">
        <f>IFERROR(QUARTILE(AH5:AH12,1),"")</f>
        <v/>
      </c>
      <c r="AI17" s="19"/>
      <c r="AJ17" s="20" t="str">
        <f>IFERROR(QUARTILE(AJ5:AJ12,1),"")</f>
        <v/>
      </c>
    </row>
    <row r="18" spans="2:36" x14ac:dyDescent="0.3">
      <c r="B18" s="18" t="s">
        <v>34</v>
      </c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0">
        <f>IFERROR(MIN(Y5:Y12),"")</f>
        <v>0</v>
      </c>
      <c r="Z18" s="20">
        <f>IFERROR(MIN(Z5:Z12),"")</f>
        <v>0</v>
      </c>
      <c r="AA18" s="20">
        <f>IFERROR(MIN(AA5:AA12),"")</f>
        <v>0</v>
      </c>
      <c r="AB18" s="19"/>
      <c r="AC18" s="20">
        <f>IFERROR(MIN(AC5:AC12),"")</f>
        <v>0</v>
      </c>
      <c r="AD18" s="20">
        <f>IFERROR(MIN(AD5:AD12),"")</f>
        <v>0</v>
      </c>
      <c r="AE18" s="20">
        <f>IFERROR(MIN(AE5:AE12),"")</f>
        <v>0</v>
      </c>
      <c r="AF18" s="19"/>
      <c r="AG18" s="20">
        <f>IFERROR(MIN(AG5:AG12),"")</f>
        <v>0</v>
      </c>
      <c r="AH18" s="20">
        <f>IFERROR(MIN(AH5:AH12),"")</f>
        <v>0</v>
      </c>
      <c r="AI18" s="19"/>
      <c r="AJ18" s="20">
        <f>IFERROR(MIN(AJ5:AJ12),"")</f>
        <v>0</v>
      </c>
    </row>
    <row r="19" spans="2:36" x14ac:dyDescent="0.3">
      <c r="B19" s="18" t="s">
        <v>35</v>
      </c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0">
        <f>IFERROR(MAX(Y5:Y12),"")</f>
        <v>0</v>
      </c>
      <c r="Z19" s="20">
        <f>IFERROR(MAX(Z5:Z12),"")</f>
        <v>0</v>
      </c>
      <c r="AA19" s="20">
        <f>IFERROR(MAX(AA5:AA12),"")</f>
        <v>0</v>
      </c>
      <c r="AB19" s="19"/>
      <c r="AC19" s="20">
        <f>IFERROR(MAX(AC5:AC12),"")</f>
        <v>0</v>
      </c>
      <c r="AD19" s="20">
        <f>IFERROR(MAX(AD5:AD12),"")</f>
        <v>0</v>
      </c>
      <c r="AE19" s="20">
        <f>IFERROR(MAX(AE5:AE12),"")</f>
        <v>0</v>
      </c>
      <c r="AF19" s="19"/>
      <c r="AG19" s="20">
        <f>IFERROR(MAX(AG5:AG12),"")</f>
        <v>0</v>
      </c>
      <c r="AH19" s="20">
        <f>IFERROR(MAX(AH5:AH12),"")</f>
        <v>0</v>
      </c>
      <c r="AI19" s="19"/>
      <c r="AJ19" s="20">
        <f>IFERROR(MAX(AJ5:AJ12),"")</f>
        <v>0</v>
      </c>
    </row>
    <row r="22" spans="2:36" ht="15.6" customHeight="1" x14ac:dyDescent="0.3">
      <c r="B22" s="6" t="s">
        <v>36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2:36" x14ac:dyDescent="0.3">
      <c r="B23" s="3" t="s">
        <v>37</v>
      </c>
    </row>
    <row r="24" spans="2:36" x14ac:dyDescent="0.3">
      <c r="B24" s="3" t="s">
        <v>38</v>
      </c>
    </row>
    <row r="25" spans="2:36" x14ac:dyDescent="0.3">
      <c r="B25" s="3" t="s">
        <v>39</v>
      </c>
    </row>
    <row r="26" spans="2:36" x14ac:dyDescent="0.3">
      <c r="B26" s="3" t="s">
        <v>40</v>
      </c>
    </row>
    <row r="27" spans="2:36" x14ac:dyDescent="0.3">
      <c r="B27" s="3" t="s">
        <v>41</v>
      </c>
    </row>
    <row r="28" spans="2:36" x14ac:dyDescent="0.3">
      <c r="B28" s="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26"/>
  <sheetViews>
    <sheetView showGridLines="0" zoomScale="85" zoomScaleNormal="85" workbookViewId="0">
      <pane ySplit="4" topLeftCell="A5" activePane="bottomLeft" state="frozen"/>
      <selection pane="bottomLeft" activeCell="F11" sqref="F11"/>
    </sheetView>
  </sheetViews>
  <sheetFormatPr defaultRowHeight="14.4" x14ac:dyDescent="0.3"/>
  <cols>
    <col min="1" max="1" width="4" style="4" customWidth="1"/>
    <col min="2" max="2" width="12" style="4" customWidth="1"/>
    <col min="3" max="3" width="22" style="4" customWidth="1"/>
    <col min="4" max="4" width="20" style="4" customWidth="1"/>
    <col min="5" max="5" width="12" style="4" customWidth="1"/>
    <col min="6" max="6" width="62.6640625" style="4" customWidth="1"/>
    <col min="7" max="7" width="7" style="4" customWidth="1"/>
    <col min="8" max="8" width="10" style="4" customWidth="1"/>
    <col min="9" max="13" width="11" style="4" customWidth="1"/>
    <col min="14" max="14" width="2" style="4" customWidth="1"/>
    <col min="15" max="15" width="70.6640625" style="4" customWidth="1"/>
    <col min="16" max="16" width="29.21875" style="4" customWidth="1"/>
    <col min="17" max="17" width="8.88671875" style="4" customWidth="1"/>
    <col min="18" max="16384" width="8.88671875" style="4"/>
  </cols>
  <sheetData>
    <row r="1" spans="2:16" ht="15.6" customHeight="1" x14ac:dyDescent="0.3">
      <c r="B1" s="6" t="s">
        <v>43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1"/>
    </row>
    <row r="2" spans="2:16" x14ac:dyDescent="0.3">
      <c r="B2" s="3" t="s">
        <v>44</v>
      </c>
    </row>
    <row r="4" spans="2:16" x14ac:dyDescent="0.3"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/>
      <c r="N4" s="8"/>
      <c r="O4" s="7" t="s">
        <v>56</v>
      </c>
      <c r="P4" s="7" t="s">
        <v>27</v>
      </c>
    </row>
    <row r="5" spans="2:16" x14ac:dyDescent="0.3">
      <c r="B5" s="13"/>
      <c r="C5" s="10"/>
      <c r="D5" s="10"/>
      <c r="E5" s="10"/>
      <c r="F5" s="22"/>
      <c r="G5" s="10"/>
      <c r="H5" s="11"/>
      <c r="I5" s="11"/>
      <c r="J5" s="11"/>
      <c r="K5" s="15" t="str">
        <f t="shared" ref="K5:K12" si="0">IFERROR(H5/I5,"")</f>
        <v/>
      </c>
      <c r="L5" s="15" t="str">
        <f t="shared" ref="L5:L12" si="1">IFERROR(H5/J5,"")</f>
        <v/>
      </c>
      <c r="M5" s="15"/>
      <c r="N5" s="15"/>
      <c r="O5" s="22"/>
      <c r="P5" s="10"/>
    </row>
    <row r="6" spans="2:16" x14ac:dyDescent="0.3">
      <c r="B6" s="13"/>
      <c r="C6" s="10"/>
      <c r="D6" s="10"/>
      <c r="E6" s="10"/>
      <c r="F6" s="22"/>
      <c r="G6" s="10"/>
      <c r="H6" s="11"/>
      <c r="I6" s="11"/>
      <c r="J6" s="11"/>
      <c r="K6" s="15" t="str">
        <f t="shared" si="0"/>
        <v/>
      </c>
      <c r="L6" s="15" t="str">
        <f t="shared" si="1"/>
        <v/>
      </c>
      <c r="M6" s="15"/>
      <c r="N6" s="15"/>
      <c r="O6" s="22"/>
      <c r="P6" s="10"/>
    </row>
    <row r="7" spans="2:16" x14ac:dyDescent="0.3">
      <c r="B7" s="13"/>
      <c r="C7" s="10"/>
      <c r="D7" s="10"/>
      <c r="E7" s="10"/>
      <c r="F7" s="22"/>
      <c r="G7" s="10"/>
      <c r="H7" s="11"/>
      <c r="I7" s="11"/>
      <c r="J7" s="11"/>
      <c r="K7" s="15" t="str">
        <f t="shared" si="0"/>
        <v/>
      </c>
      <c r="L7" s="15" t="str">
        <f t="shared" si="1"/>
        <v/>
      </c>
      <c r="M7" s="15"/>
      <c r="N7" s="15"/>
      <c r="O7" s="22"/>
      <c r="P7" s="10"/>
    </row>
    <row r="8" spans="2:16" x14ac:dyDescent="0.3">
      <c r="B8" s="13"/>
      <c r="C8" s="10"/>
      <c r="D8" s="10"/>
      <c r="E8" s="10"/>
      <c r="F8" s="22"/>
      <c r="G8" s="10"/>
      <c r="H8" s="11"/>
      <c r="I8" s="11"/>
      <c r="J8" s="11"/>
      <c r="K8" s="15" t="str">
        <f t="shared" si="0"/>
        <v/>
      </c>
      <c r="L8" s="15" t="str">
        <f t="shared" si="1"/>
        <v/>
      </c>
      <c r="M8" s="15"/>
      <c r="N8" s="15"/>
      <c r="O8" s="22"/>
      <c r="P8" s="10"/>
    </row>
    <row r="9" spans="2:16" x14ac:dyDescent="0.3">
      <c r="B9" s="13"/>
      <c r="C9" s="10"/>
      <c r="D9" s="10"/>
      <c r="E9" s="10"/>
      <c r="F9" s="22"/>
      <c r="G9" s="10"/>
      <c r="H9" s="11"/>
      <c r="I9" s="11"/>
      <c r="J9" s="11"/>
      <c r="K9" s="15" t="str">
        <f t="shared" si="0"/>
        <v/>
      </c>
      <c r="L9" s="15" t="str">
        <f t="shared" si="1"/>
        <v/>
      </c>
      <c r="M9" s="15"/>
      <c r="N9" s="15"/>
      <c r="O9" s="22"/>
      <c r="P9" s="10"/>
    </row>
    <row r="10" spans="2:16" x14ac:dyDescent="0.3">
      <c r="B10" s="13"/>
      <c r="C10" s="10"/>
      <c r="D10" s="10"/>
      <c r="E10" s="10"/>
      <c r="F10" s="22"/>
      <c r="G10" s="10"/>
      <c r="H10" s="11"/>
      <c r="I10" s="11"/>
      <c r="J10" s="11"/>
      <c r="K10" s="15" t="str">
        <f t="shared" si="0"/>
        <v/>
      </c>
      <c r="L10" s="15" t="str">
        <f t="shared" si="1"/>
        <v/>
      </c>
      <c r="M10" s="15"/>
      <c r="N10" s="15"/>
      <c r="O10" s="22"/>
      <c r="P10" s="10"/>
    </row>
    <row r="11" spans="2:16" x14ac:dyDescent="0.3">
      <c r="B11" s="13"/>
      <c r="C11" s="10"/>
      <c r="D11" s="10"/>
      <c r="E11" s="10"/>
      <c r="F11" s="22"/>
      <c r="G11" s="10"/>
      <c r="H11" s="11"/>
      <c r="I11" s="11"/>
      <c r="J11" s="11"/>
      <c r="K11" s="15" t="str">
        <f t="shared" si="0"/>
        <v/>
      </c>
      <c r="L11" s="15" t="str">
        <f t="shared" si="1"/>
        <v/>
      </c>
      <c r="M11" s="15"/>
      <c r="N11" s="15"/>
      <c r="O11" s="22"/>
      <c r="P11" s="10"/>
    </row>
    <row r="12" spans="2:16" x14ac:dyDescent="0.3">
      <c r="B12" s="13"/>
      <c r="C12" s="10"/>
      <c r="D12" s="10"/>
      <c r="E12" s="10"/>
      <c r="F12" s="22"/>
      <c r="G12" s="10"/>
      <c r="H12" s="11"/>
      <c r="I12" s="11"/>
      <c r="J12" s="11"/>
      <c r="K12" s="15" t="str">
        <f t="shared" si="0"/>
        <v/>
      </c>
      <c r="L12" s="15" t="str">
        <f t="shared" si="1"/>
        <v/>
      </c>
      <c r="M12" s="15"/>
      <c r="N12" s="15"/>
      <c r="O12" s="22"/>
      <c r="P12" s="10"/>
    </row>
    <row r="14" spans="2:16" x14ac:dyDescent="0.3">
      <c r="B14" s="18" t="s">
        <v>30</v>
      </c>
      <c r="C14" s="18"/>
      <c r="D14" s="19"/>
      <c r="E14" s="19"/>
      <c r="F14" s="19"/>
      <c r="G14" s="19"/>
      <c r="H14" s="19"/>
      <c r="I14" s="19"/>
      <c r="J14" s="19"/>
      <c r="K14" s="20" t="str">
        <f>IFERROR(AVERAGE(K5:K12),"")</f>
        <v/>
      </c>
      <c r="L14" s="20" t="str">
        <f>IFERROR(AVERAGE(L5:L12),"")</f>
        <v/>
      </c>
      <c r="M14" s="20"/>
      <c r="N14" s="23"/>
    </row>
    <row r="15" spans="2:16" x14ac:dyDescent="0.3">
      <c r="B15" s="18" t="s">
        <v>31</v>
      </c>
      <c r="C15" s="18"/>
      <c r="D15" s="19"/>
      <c r="E15" s="19"/>
      <c r="F15" s="19"/>
      <c r="G15" s="19"/>
      <c r="H15" s="19"/>
      <c r="I15" s="19"/>
      <c r="J15" s="19"/>
      <c r="K15" s="20" t="str">
        <f>IFERROR(MEDIAN(K5:K12),"")</f>
        <v/>
      </c>
      <c r="L15" s="20" t="str">
        <f>IFERROR(MEDIAN(L5:L12),"")</f>
        <v/>
      </c>
      <c r="M15" s="20"/>
      <c r="N15" s="23"/>
    </row>
    <row r="16" spans="2:16" x14ac:dyDescent="0.3">
      <c r="B16" s="18" t="s">
        <v>32</v>
      </c>
      <c r="C16" s="18"/>
      <c r="D16" s="19"/>
      <c r="E16" s="19"/>
      <c r="F16" s="19"/>
      <c r="G16" s="19"/>
      <c r="H16" s="19"/>
      <c r="I16" s="19"/>
      <c r="J16" s="19"/>
      <c r="K16" s="20" t="str">
        <f>IFERROR(QUARTILE(K5:K12,3),"")</f>
        <v/>
      </c>
      <c r="L16" s="20" t="str">
        <f>IFERROR(QUARTILE(L5:L12,3),"")</f>
        <v/>
      </c>
      <c r="M16" s="20"/>
      <c r="N16" s="23"/>
    </row>
    <row r="17" spans="2:14" x14ac:dyDescent="0.3">
      <c r="B17" s="18" t="s">
        <v>33</v>
      </c>
      <c r="C17" s="18"/>
      <c r="D17" s="19"/>
      <c r="E17" s="19"/>
      <c r="F17" s="19"/>
      <c r="G17" s="19"/>
      <c r="H17" s="19"/>
      <c r="I17" s="19"/>
      <c r="J17" s="19"/>
      <c r="K17" s="20" t="str">
        <f>IFERROR(QUARTILE(K5:K12,1),"")</f>
        <v/>
      </c>
      <c r="L17" s="20" t="str">
        <f>IFERROR(QUARTILE(L5:L12,1),"")</f>
        <v/>
      </c>
      <c r="M17" s="20"/>
      <c r="N17" s="23"/>
    </row>
    <row r="18" spans="2:14" x14ac:dyDescent="0.3">
      <c r="B18" s="18" t="s">
        <v>34</v>
      </c>
      <c r="C18" s="18"/>
      <c r="D18" s="19"/>
      <c r="E18" s="19"/>
      <c r="F18" s="19"/>
      <c r="G18" s="19"/>
      <c r="H18" s="19"/>
      <c r="I18" s="19"/>
      <c r="J18" s="19"/>
      <c r="K18" s="20">
        <f>IFERROR(MIN(K5:K12),"")</f>
        <v>0</v>
      </c>
      <c r="L18" s="20">
        <f>IFERROR(MIN(L5:L12),"")</f>
        <v>0</v>
      </c>
      <c r="M18" s="20"/>
      <c r="N18" s="23"/>
    </row>
    <row r="19" spans="2:14" x14ac:dyDescent="0.3">
      <c r="B19" s="18" t="s">
        <v>35</v>
      </c>
      <c r="C19" s="18"/>
      <c r="D19" s="19"/>
      <c r="E19" s="19"/>
      <c r="F19" s="19"/>
      <c r="G19" s="19"/>
      <c r="H19" s="19"/>
      <c r="I19" s="19"/>
      <c r="J19" s="19"/>
      <c r="K19" s="20">
        <f>IFERROR(MAX(K5:K12),"")</f>
        <v>0</v>
      </c>
      <c r="L19" s="20">
        <f>IFERROR(MAX(L5:L12),"")</f>
        <v>0</v>
      </c>
      <c r="M19" s="20"/>
      <c r="N19" s="23"/>
    </row>
    <row r="22" spans="2:14" ht="15.6" customHeight="1" x14ac:dyDescent="0.3">
      <c r="B22" s="6" t="s">
        <v>57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4" x14ac:dyDescent="0.3">
      <c r="B23" s="3" t="s">
        <v>58</v>
      </c>
    </row>
    <row r="24" spans="2:14" x14ac:dyDescent="0.3">
      <c r="B24" s="3" t="s">
        <v>59</v>
      </c>
    </row>
    <row r="25" spans="2:14" x14ac:dyDescent="0.3">
      <c r="B25" s="3" t="s">
        <v>60</v>
      </c>
    </row>
    <row r="26" spans="2:14" x14ac:dyDescent="0.3">
      <c r="B26" s="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/>
      <vt:lpstr/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2026-06-01T15:09:01Z</dcterms:created>
  <dcterms:modified xsi:type="dcterms:W3CDTF">2026-06-03T09:19:19Z</dcterms:modified>
</cp:coreProperties>
</file>